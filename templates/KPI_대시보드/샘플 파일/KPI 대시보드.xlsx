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SPJS 엑셀 템플릿\SpreadJS에 맞게 수정\KPI 대시보드\"/>
    </mc:Choice>
  </mc:AlternateContent>
  <xr:revisionPtr revIDLastSave="0" documentId="13_ncr:1_{E6D150B2-531D-4091-835B-32B9405B8BC6}" xr6:coauthVersionLast="47" xr6:coauthVersionMax="47" xr10:uidLastSave="{00000000-0000-0000-0000-000000000000}"/>
  <bookViews>
    <workbookView xWindow="5145" yWindow="-16320" windowWidth="29040" windowHeight="15720" activeTab="2" xr2:uid="{8BD08E8D-A4CA-4FA1-8720-AF9E08893200}"/>
  </bookViews>
  <sheets>
    <sheet name="Data" sheetId="3" r:id="rId1"/>
    <sheet name="Calculations" sheetId="1" r:id="rId2"/>
    <sheet name="DASHBOARD" sheetId="2" r:id="rId3"/>
  </sheets>
  <definedNames>
    <definedName name="_xlnm._FilterDatabase" localSheetId="2" hidden="1">DASHBOARD!$I$2:$I$3</definedName>
    <definedName name="Category">#REF!</definedName>
    <definedName name="_xlnm.Extract" localSheetId="2">DASHBOARD!$O$2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7" i="1" l="1" a="1"/>
  <c r="AR67" i="1" s="1"/>
  <c r="AQ67" i="1" a="1"/>
  <c r="AQ67" i="1" s="1"/>
  <c r="AP67" i="1" a="1"/>
  <c r="AP67" i="1" s="1"/>
  <c r="AR66" i="1" a="1"/>
  <c r="AR66" i="1" s="1"/>
  <c r="AQ66" i="1" a="1"/>
  <c r="AQ66" i="1" s="1"/>
  <c r="AP66" i="1" a="1"/>
  <c r="AP66" i="1" s="1"/>
  <c r="AR65" i="1" a="1"/>
  <c r="AR65" i="1" s="1"/>
  <c r="AQ65" i="1" a="1"/>
  <c r="AQ65" i="1" s="1"/>
  <c r="AP65" i="1" a="1"/>
  <c r="AP65" i="1" s="1"/>
  <c r="AR64" i="1" a="1"/>
  <c r="AR64" i="1" s="1"/>
  <c r="AQ64" i="1" a="1"/>
  <c r="AQ64" i="1" s="1"/>
  <c r="AP64" i="1" a="1"/>
  <c r="AP64" i="1" s="1"/>
  <c r="AR63" i="1" a="1"/>
  <c r="AR63" i="1" s="1"/>
  <c r="AQ63" i="1" a="1"/>
  <c r="AQ63" i="1" s="1"/>
  <c r="AP63" i="1" a="1"/>
  <c r="AP63" i="1" s="1"/>
  <c r="AR56" i="1" a="1"/>
  <c r="AR56" i="1" s="1"/>
  <c r="AQ56" i="1" a="1"/>
  <c r="AQ56" i="1" s="1"/>
  <c r="AP56" i="1" a="1"/>
  <c r="AP56" i="1" s="1"/>
  <c r="AR55" i="1" a="1"/>
  <c r="AR55" i="1" s="1"/>
  <c r="AQ55" i="1" a="1"/>
  <c r="AQ55" i="1" s="1"/>
  <c r="AP55" i="1" a="1"/>
  <c r="AP55" i="1" s="1"/>
  <c r="AR54" i="1" a="1"/>
  <c r="AR54" i="1" s="1"/>
  <c r="AQ54" i="1" a="1"/>
  <c r="AQ54" i="1" s="1"/>
  <c r="AP54" i="1" a="1"/>
  <c r="AP54" i="1" s="1"/>
  <c r="AR53" i="1" a="1"/>
  <c r="AR53" i="1" s="1"/>
  <c r="AQ53" i="1" a="1"/>
  <c r="AQ53" i="1" s="1"/>
  <c r="AP53" i="1" a="1"/>
  <c r="AP53" i="1" s="1"/>
  <c r="AR52" i="1" a="1"/>
  <c r="AR52" i="1" s="1"/>
  <c r="AQ52" i="1" a="1"/>
  <c r="AQ52" i="1" s="1"/>
  <c r="AP52" i="1" a="1"/>
  <c r="AP52" i="1" s="1"/>
  <c r="AR45" i="1" a="1"/>
  <c r="AR45" i="1" s="1"/>
  <c r="AQ45" i="1" a="1"/>
  <c r="AQ45" i="1" s="1"/>
  <c r="AP45" i="1" a="1"/>
  <c r="AP45" i="1" s="1"/>
  <c r="AR44" i="1" a="1"/>
  <c r="AR44" i="1" s="1"/>
  <c r="AQ44" i="1" a="1"/>
  <c r="AQ44" i="1" s="1"/>
  <c r="AP44" i="1" a="1"/>
  <c r="AP44" i="1" s="1"/>
  <c r="AR43" i="1" a="1"/>
  <c r="AR43" i="1" s="1"/>
  <c r="AQ43" i="1" a="1"/>
  <c r="AQ43" i="1" s="1"/>
  <c r="AP43" i="1" a="1"/>
  <c r="AP43" i="1" s="1"/>
  <c r="AR42" i="1" a="1"/>
  <c r="AR42" i="1" s="1"/>
  <c r="AQ42" i="1" a="1"/>
  <c r="AQ42" i="1" s="1"/>
  <c r="AP42" i="1" a="1"/>
  <c r="AP42" i="1" s="1"/>
  <c r="AR41" i="1" a="1"/>
  <c r="AR41" i="1" s="1"/>
  <c r="AQ41" i="1" a="1"/>
  <c r="AQ41" i="1" s="1"/>
  <c r="AP41" i="1" a="1"/>
  <c r="AP41" i="1" s="1"/>
  <c r="AO67" i="1" a="1"/>
  <c r="AO67" i="1" s="1"/>
  <c r="AN67" i="1" a="1"/>
  <c r="AN67" i="1" s="1"/>
  <c r="AM67" i="1" a="1"/>
  <c r="AM67" i="1" s="1"/>
  <c r="AO66" i="1" a="1"/>
  <c r="AO66" i="1" s="1"/>
  <c r="AN66" i="1" a="1"/>
  <c r="AN66" i="1" s="1"/>
  <c r="AM66" i="1" a="1"/>
  <c r="AM66" i="1" s="1"/>
  <c r="AO65" i="1" a="1"/>
  <c r="AO65" i="1" s="1"/>
  <c r="AN65" i="1" a="1"/>
  <c r="AN65" i="1" s="1"/>
  <c r="AM65" i="1" a="1"/>
  <c r="AM65" i="1" s="1"/>
  <c r="AO64" i="1" a="1"/>
  <c r="AO64" i="1" s="1"/>
  <c r="AN64" i="1" a="1"/>
  <c r="AN64" i="1" s="1"/>
  <c r="AM64" i="1" a="1"/>
  <c r="AM64" i="1" s="1"/>
  <c r="AO63" i="1" a="1"/>
  <c r="AO63" i="1" s="1"/>
  <c r="AN63" i="1" a="1"/>
  <c r="AN63" i="1" s="1"/>
  <c r="AM63" i="1" a="1"/>
  <c r="AM63" i="1" s="1"/>
  <c r="AO56" i="1" a="1"/>
  <c r="AO56" i="1" s="1"/>
  <c r="AN56" i="1" a="1"/>
  <c r="AN56" i="1" s="1"/>
  <c r="AM56" i="1" a="1"/>
  <c r="AM56" i="1" s="1"/>
  <c r="AO55" i="1" a="1"/>
  <c r="AO55" i="1" s="1"/>
  <c r="AN55" i="1" a="1"/>
  <c r="AN55" i="1" s="1"/>
  <c r="AM55" i="1" a="1"/>
  <c r="AM55" i="1" s="1"/>
  <c r="AO54" i="1" a="1"/>
  <c r="AO54" i="1" s="1"/>
  <c r="AN54" i="1" a="1"/>
  <c r="AN54" i="1" s="1"/>
  <c r="AM54" i="1" a="1"/>
  <c r="AM54" i="1" s="1"/>
  <c r="AO53" i="1" a="1"/>
  <c r="AO53" i="1" s="1"/>
  <c r="AN53" i="1" a="1"/>
  <c r="AN53" i="1" s="1"/>
  <c r="AM53" i="1" a="1"/>
  <c r="AM53" i="1" s="1"/>
  <c r="AO52" i="1" a="1"/>
  <c r="AO52" i="1" s="1"/>
  <c r="AN52" i="1" a="1"/>
  <c r="AN52" i="1" s="1"/>
  <c r="AM52" i="1" a="1"/>
  <c r="AM52" i="1" s="1"/>
  <c r="AO45" i="1" a="1"/>
  <c r="AO45" i="1" s="1"/>
  <c r="AN45" i="1" a="1"/>
  <c r="AN45" i="1" s="1"/>
  <c r="AM45" i="1" a="1"/>
  <c r="AM45" i="1" s="1"/>
  <c r="AO44" i="1" a="1"/>
  <c r="AO44" i="1" s="1"/>
  <c r="AN44" i="1" a="1"/>
  <c r="AN44" i="1" s="1"/>
  <c r="AM44" i="1" a="1"/>
  <c r="AM44" i="1" s="1"/>
  <c r="AO43" i="1" a="1"/>
  <c r="AO43" i="1" s="1"/>
  <c r="AN43" i="1" a="1"/>
  <c r="AN43" i="1" s="1"/>
  <c r="AM43" i="1" a="1"/>
  <c r="AM43" i="1" s="1"/>
  <c r="AO42" i="1" a="1"/>
  <c r="AO42" i="1" s="1"/>
  <c r="AN42" i="1" a="1"/>
  <c r="AN42" i="1" s="1"/>
  <c r="AM42" i="1" a="1"/>
  <c r="AM42" i="1" s="1"/>
  <c r="AO41" i="1" a="1"/>
  <c r="AO41" i="1" s="1"/>
  <c r="AN41" i="1" a="1"/>
  <c r="AN41" i="1" s="1"/>
  <c r="AM41" i="1" a="1"/>
  <c r="AM41" i="1" s="1"/>
  <c r="AI67" i="1" a="1"/>
  <c r="AI67" i="1" s="1"/>
  <c r="AH67" i="1" a="1"/>
  <c r="AH67" i="1" s="1"/>
  <c r="AG67" i="1" a="1"/>
  <c r="AG67" i="1" s="1"/>
  <c r="AI66" i="1" a="1"/>
  <c r="AI66" i="1" s="1"/>
  <c r="AH66" i="1" a="1"/>
  <c r="AH66" i="1" s="1"/>
  <c r="AG66" i="1" a="1"/>
  <c r="AG66" i="1" s="1"/>
  <c r="AI65" i="1" a="1"/>
  <c r="AI65" i="1" s="1"/>
  <c r="AH65" i="1" a="1"/>
  <c r="AH65" i="1" s="1"/>
  <c r="AG65" i="1" a="1"/>
  <c r="AG65" i="1" s="1"/>
  <c r="AI64" i="1" a="1"/>
  <c r="AI64" i="1" s="1"/>
  <c r="AH64" i="1" a="1"/>
  <c r="AH64" i="1" s="1"/>
  <c r="AG64" i="1" a="1"/>
  <c r="AG64" i="1" s="1"/>
  <c r="AI63" i="1" a="1"/>
  <c r="AI63" i="1" s="1"/>
  <c r="AH63" i="1" a="1"/>
  <c r="AH63" i="1" s="1"/>
  <c r="AG63" i="1" a="1"/>
  <c r="AG63" i="1" s="1"/>
  <c r="AI56" i="1" a="1"/>
  <c r="AI56" i="1" s="1"/>
  <c r="AH56" i="1" a="1"/>
  <c r="AH56" i="1" s="1"/>
  <c r="AG56" i="1" a="1"/>
  <c r="AG56" i="1" s="1"/>
  <c r="AI55" i="1" a="1"/>
  <c r="AI55" i="1" s="1"/>
  <c r="AH55" i="1" a="1"/>
  <c r="AH55" i="1" s="1"/>
  <c r="AG55" i="1" a="1"/>
  <c r="AG55" i="1" s="1"/>
  <c r="AI54" i="1" a="1"/>
  <c r="AI54" i="1" s="1"/>
  <c r="AH54" i="1" a="1"/>
  <c r="AH54" i="1" s="1"/>
  <c r="AG54" i="1" a="1"/>
  <c r="AG54" i="1" s="1"/>
  <c r="AI53" i="1" a="1"/>
  <c r="AI53" i="1" s="1"/>
  <c r="AH53" i="1" a="1"/>
  <c r="AH53" i="1" s="1"/>
  <c r="AG53" i="1" a="1"/>
  <c r="AG53" i="1" s="1"/>
  <c r="AI52" i="1" a="1"/>
  <c r="AI52" i="1" s="1"/>
  <c r="AH52" i="1" a="1"/>
  <c r="AH52" i="1" s="1"/>
  <c r="AG52" i="1" a="1"/>
  <c r="AG52" i="1"/>
  <c r="AI45" i="1" a="1"/>
  <c r="AI45" i="1" s="1"/>
  <c r="AH45" i="1" a="1"/>
  <c r="AH45" i="1" s="1"/>
  <c r="AG45" i="1" a="1"/>
  <c r="AG45" i="1" s="1"/>
  <c r="AI44" i="1" a="1"/>
  <c r="AI44" i="1" s="1"/>
  <c r="AH44" i="1" a="1"/>
  <c r="AH44" i="1" s="1"/>
  <c r="AG44" i="1" a="1"/>
  <c r="AG44" i="1" s="1"/>
  <c r="AI43" i="1" a="1"/>
  <c r="AI43" i="1" s="1"/>
  <c r="AH43" i="1" a="1"/>
  <c r="AH43" i="1" s="1"/>
  <c r="AG43" i="1" a="1"/>
  <c r="AG43" i="1" s="1"/>
  <c r="AI42" i="1" a="1"/>
  <c r="AI42" i="1" s="1"/>
  <c r="AH42" i="1" a="1"/>
  <c r="AH42" i="1" s="1"/>
  <c r="AG42" i="1" a="1"/>
  <c r="AG42" i="1" s="1"/>
  <c r="AI41" i="1" a="1"/>
  <c r="AI41" i="1" s="1"/>
  <c r="AH41" i="1" a="1"/>
  <c r="AH41" i="1" s="1"/>
  <c r="AG41" i="1" a="1"/>
  <c r="AG41" i="1" s="1"/>
  <c r="AF67" i="1" a="1"/>
  <c r="AF67" i="1" s="1"/>
  <c r="AE67" i="1" a="1"/>
  <c r="AE67" i="1" s="1"/>
  <c r="AD67" i="1" a="1"/>
  <c r="AD67" i="1" s="1"/>
  <c r="AF66" i="1" a="1"/>
  <c r="AF66" i="1" s="1"/>
  <c r="AE66" i="1" a="1"/>
  <c r="AE66" i="1" s="1"/>
  <c r="AD66" i="1" a="1"/>
  <c r="AD66" i="1" s="1"/>
  <c r="AF65" i="1" a="1"/>
  <c r="AF65" i="1" s="1"/>
  <c r="AE65" i="1" a="1"/>
  <c r="AE65" i="1" s="1"/>
  <c r="AD65" i="1" a="1"/>
  <c r="AD65" i="1" s="1"/>
  <c r="AF64" i="1" a="1"/>
  <c r="AF64" i="1" s="1"/>
  <c r="AE64" i="1" a="1"/>
  <c r="AE64" i="1" s="1"/>
  <c r="AD64" i="1" a="1"/>
  <c r="AD64" i="1" s="1"/>
  <c r="AF63" i="1" a="1"/>
  <c r="AF63" i="1" s="1"/>
  <c r="AE63" i="1" a="1"/>
  <c r="AE63" i="1" s="1"/>
  <c r="AD63" i="1" a="1"/>
  <c r="AD63" i="1" s="1"/>
  <c r="AF56" i="1" a="1"/>
  <c r="AF56" i="1" s="1"/>
  <c r="AE56" i="1" a="1"/>
  <c r="AE56" i="1" s="1"/>
  <c r="AD56" i="1" a="1"/>
  <c r="AD56" i="1" s="1"/>
  <c r="AF55" i="1" a="1"/>
  <c r="AF55" i="1" s="1"/>
  <c r="AE55" i="1" a="1"/>
  <c r="AE55" i="1" s="1"/>
  <c r="AD55" i="1" a="1"/>
  <c r="AD55" i="1" s="1"/>
  <c r="AF54" i="1" a="1"/>
  <c r="AF54" i="1" s="1"/>
  <c r="AE54" i="1" a="1"/>
  <c r="AE54" i="1" s="1"/>
  <c r="AD54" i="1" a="1"/>
  <c r="AD54" i="1" s="1"/>
  <c r="AF53" i="1" a="1"/>
  <c r="AF53" i="1" s="1"/>
  <c r="AE53" i="1" a="1"/>
  <c r="AE53" i="1" s="1"/>
  <c r="AD53" i="1" a="1"/>
  <c r="AD53" i="1" s="1"/>
  <c r="AF52" i="1" a="1"/>
  <c r="AF52" i="1" s="1"/>
  <c r="AE52" i="1" a="1"/>
  <c r="AE52" i="1" s="1"/>
  <c r="AD52" i="1" a="1"/>
  <c r="AD52" i="1" s="1"/>
  <c r="AF45" i="1" a="1"/>
  <c r="AF45" i="1" s="1"/>
  <c r="AE45" i="1" a="1"/>
  <c r="AE45" i="1" s="1"/>
  <c r="AD45" i="1" a="1"/>
  <c r="AD45" i="1" s="1"/>
  <c r="AF44" i="1" a="1"/>
  <c r="AF44" i="1" s="1"/>
  <c r="AE44" i="1" a="1"/>
  <c r="AE44" i="1" s="1"/>
  <c r="AD44" i="1" a="1"/>
  <c r="AD44" i="1" s="1"/>
  <c r="AF43" i="1" a="1"/>
  <c r="AF43" i="1" s="1"/>
  <c r="AE43" i="1" a="1"/>
  <c r="AE43" i="1" s="1"/>
  <c r="AD43" i="1" a="1"/>
  <c r="AD43" i="1" s="1"/>
  <c r="AF42" i="1" a="1"/>
  <c r="AF42" i="1" s="1"/>
  <c r="AE42" i="1" a="1"/>
  <c r="AE42" i="1" s="1"/>
  <c r="AD42" i="1" a="1"/>
  <c r="AD42" i="1" s="1"/>
  <c r="AF41" i="1" a="1"/>
  <c r="AF41" i="1" s="1"/>
  <c r="AE41" i="1" a="1"/>
  <c r="AE41" i="1" s="1"/>
  <c r="AD41" i="1" a="1"/>
  <c r="AD41" i="1" s="1"/>
  <c r="AA41" i="1"/>
  <c r="Z67" i="1" a="1"/>
  <c r="Z67" i="1" s="1"/>
  <c r="Y67" i="1" a="1"/>
  <c r="Y67" i="1" s="1"/>
  <c r="X67" i="1" a="1"/>
  <c r="X67" i="1" s="1"/>
  <c r="Z66" i="1" a="1"/>
  <c r="Z66" i="1" s="1"/>
  <c r="Y66" i="1" a="1"/>
  <c r="Y66" i="1" s="1"/>
  <c r="X66" i="1" a="1"/>
  <c r="X66" i="1" s="1"/>
  <c r="Z65" i="1" a="1"/>
  <c r="Z65" i="1" s="1"/>
  <c r="Y65" i="1" a="1"/>
  <c r="Y65" i="1" s="1"/>
  <c r="X65" i="1" a="1"/>
  <c r="X65" i="1" s="1"/>
  <c r="Z64" i="1" a="1"/>
  <c r="Z64" i="1" s="1"/>
  <c r="Y64" i="1" a="1"/>
  <c r="Y64" i="1" s="1"/>
  <c r="X64" i="1" a="1"/>
  <c r="X64" i="1" s="1"/>
  <c r="Z63" i="1" a="1"/>
  <c r="Z63" i="1" s="1"/>
  <c r="Y63" i="1" a="1"/>
  <c r="Y63" i="1" s="1"/>
  <c r="X63" i="1" a="1"/>
  <c r="X63" i="1" s="1"/>
  <c r="Z56" i="1" a="1"/>
  <c r="Z56" i="1" s="1"/>
  <c r="Y56" i="1" a="1"/>
  <c r="Y56" i="1" s="1"/>
  <c r="X56" i="1" a="1"/>
  <c r="X56" i="1" s="1"/>
  <c r="Z55" i="1" a="1"/>
  <c r="Z55" i="1" s="1"/>
  <c r="Y55" i="1" a="1"/>
  <c r="Y55" i="1" s="1"/>
  <c r="X55" i="1" a="1"/>
  <c r="X55" i="1" s="1"/>
  <c r="Z54" i="1" a="1"/>
  <c r="Z54" i="1" s="1"/>
  <c r="Y54" i="1" a="1"/>
  <c r="Y54" i="1" s="1"/>
  <c r="X54" i="1" a="1"/>
  <c r="X54" i="1" s="1"/>
  <c r="Z53" i="1" a="1"/>
  <c r="Z53" i="1" s="1"/>
  <c r="Y53" i="1" a="1"/>
  <c r="Y53" i="1" s="1"/>
  <c r="X53" i="1" a="1"/>
  <c r="X53" i="1" s="1"/>
  <c r="Z52" i="1" a="1"/>
  <c r="Z52" i="1" s="1"/>
  <c r="Y52" i="1" a="1"/>
  <c r="Y52" i="1" s="1"/>
  <c r="X52" i="1" a="1"/>
  <c r="X52" i="1" s="1"/>
  <c r="Z45" i="1" a="1"/>
  <c r="Z45" i="1" s="1"/>
  <c r="Y45" i="1" a="1"/>
  <c r="Y45" i="1" s="1"/>
  <c r="X45" i="1" a="1"/>
  <c r="X45" i="1" s="1"/>
  <c r="Z44" i="1" a="1"/>
  <c r="Z44" i="1" s="1"/>
  <c r="Y44" i="1" a="1"/>
  <c r="Y44" i="1" s="1"/>
  <c r="X44" i="1" a="1"/>
  <c r="X44" i="1" s="1"/>
  <c r="Z43" i="1" a="1"/>
  <c r="Z43" i="1" s="1"/>
  <c r="Y43" i="1" a="1"/>
  <c r="Y43" i="1" s="1"/>
  <c r="X43" i="1" a="1"/>
  <c r="X43" i="1" s="1"/>
  <c r="Z42" i="1" a="1"/>
  <c r="Z42" i="1" s="1"/>
  <c r="Y42" i="1" a="1"/>
  <c r="Y42" i="1" s="1"/>
  <c r="X42" i="1" a="1"/>
  <c r="X42" i="1" s="1"/>
  <c r="Z41" i="1" a="1"/>
  <c r="Z41" i="1" s="1"/>
  <c r="Y41" i="1" a="1"/>
  <c r="Y41" i="1" s="1"/>
  <c r="X41" i="1" a="1"/>
  <c r="X41" i="1" s="1"/>
  <c r="W67" i="1" a="1"/>
  <c r="W67" i="1" s="1"/>
  <c r="V67" i="1" a="1"/>
  <c r="V67" i="1" s="1"/>
  <c r="U67" i="1" a="1"/>
  <c r="U67" i="1" s="1"/>
  <c r="W66" i="1" a="1"/>
  <c r="W66" i="1" s="1"/>
  <c r="V66" i="1" a="1"/>
  <c r="V66" i="1" s="1"/>
  <c r="U66" i="1" a="1"/>
  <c r="U66" i="1" s="1"/>
  <c r="W65" i="1" a="1"/>
  <c r="W65" i="1" s="1"/>
  <c r="V65" i="1" a="1"/>
  <c r="V65" i="1" s="1"/>
  <c r="U65" i="1" a="1"/>
  <c r="U65" i="1" s="1"/>
  <c r="W64" i="1" a="1"/>
  <c r="W64" i="1" s="1"/>
  <c r="V64" i="1" a="1"/>
  <c r="V64" i="1" s="1"/>
  <c r="U64" i="1" a="1"/>
  <c r="U64" i="1" s="1"/>
  <c r="W63" i="1" a="1"/>
  <c r="W63" i="1" s="1"/>
  <c r="V63" i="1" a="1"/>
  <c r="V63" i="1" s="1"/>
  <c r="U63" i="1" a="1"/>
  <c r="U63" i="1" s="1"/>
  <c r="W56" i="1" a="1"/>
  <c r="W56" i="1" s="1"/>
  <c r="V56" i="1" a="1"/>
  <c r="V56" i="1" s="1"/>
  <c r="U56" i="1" a="1"/>
  <c r="U56" i="1" s="1"/>
  <c r="W55" i="1" a="1"/>
  <c r="W55" i="1" s="1"/>
  <c r="V55" i="1" a="1"/>
  <c r="V55" i="1" s="1"/>
  <c r="U55" i="1" a="1"/>
  <c r="U55" i="1" s="1"/>
  <c r="W54" i="1" a="1"/>
  <c r="W54" i="1" s="1"/>
  <c r="V54" i="1" a="1"/>
  <c r="V54" i="1" s="1"/>
  <c r="U54" i="1" a="1"/>
  <c r="U54" i="1" s="1"/>
  <c r="W53" i="1" a="1"/>
  <c r="W53" i="1" s="1"/>
  <c r="V53" i="1" a="1"/>
  <c r="V53" i="1" s="1"/>
  <c r="U53" i="1" a="1"/>
  <c r="U53" i="1" s="1"/>
  <c r="W52" i="1" a="1"/>
  <c r="W52" i="1" s="1"/>
  <c r="V52" i="1" a="1"/>
  <c r="V52" i="1" s="1"/>
  <c r="U52" i="1" a="1"/>
  <c r="U52" i="1" s="1"/>
  <c r="W45" i="1" a="1"/>
  <c r="W45" i="1" s="1"/>
  <c r="V45" i="1" a="1"/>
  <c r="V45" i="1" s="1"/>
  <c r="U45" i="1" a="1"/>
  <c r="U45" i="1" s="1"/>
  <c r="W44" i="1" a="1"/>
  <c r="W44" i="1" s="1"/>
  <c r="V44" i="1" a="1"/>
  <c r="V44" i="1" s="1"/>
  <c r="U44" i="1" a="1"/>
  <c r="U44" i="1" s="1"/>
  <c r="W43" i="1" a="1"/>
  <c r="W43" i="1" s="1"/>
  <c r="V43" i="1" a="1"/>
  <c r="V43" i="1" s="1"/>
  <c r="U43" i="1" a="1"/>
  <c r="U43" i="1" s="1"/>
  <c r="W42" i="1" a="1"/>
  <c r="W42" i="1" s="1"/>
  <c r="V42" i="1" a="1"/>
  <c r="V42" i="1" s="1"/>
  <c r="U42" i="1" a="1"/>
  <c r="U42" i="1" s="1"/>
  <c r="W41" i="1" a="1"/>
  <c r="W41" i="1" s="1"/>
  <c r="V41" i="1" a="1"/>
  <c r="V41" i="1" s="1"/>
  <c r="U41" i="1" a="1"/>
  <c r="U41" i="1" s="1"/>
  <c r="T67" i="1" l="1" a="1"/>
  <c r="T67" i="1" s="1"/>
  <c r="S67" i="1" a="1"/>
  <c r="S67" i="1" s="1"/>
  <c r="R67" i="1" a="1"/>
  <c r="R67" i="1" s="1"/>
  <c r="T66" i="1" a="1"/>
  <c r="T66" i="1" s="1"/>
  <c r="S66" i="1" a="1"/>
  <c r="S66" i="1" s="1"/>
  <c r="R66" i="1" a="1"/>
  <c r="R66" i="1" s="1"/>
  <c r="T65" i="1" a="1"/>
  <c r="T65" i="1" s="1"/>
  <c r="S65" i="1" a="1"/>
  <c r="S65" i="1" s="1"/>
  <c r="R65" i="1" a="1"/>
  <c r="R65" i="1" s="1"/>
  <c r="T64" i="1" a="1"/>
  <c r="T64" i="1" s="1"/>
  <c r="S64" i="1" a="1"/>
  <c r="S64" i="1" s="1"/>
  <c r="R64" i="1" a="1"/>
  <c r="R64" i="1" s="1"/>
  <c r="T63" i="1" a="1"/>
  <c r="T63" i="1" s="1"/>
  <c r="S63" i="1" a="1"/>
  <c r="S63" i="1" s="1"/>
  <c r="R63" i="1" a="1"/>
  <c r="R63" i="1" s="1"/>
  <c r="T56" i="1" a="1"/>
  <c r="T56" i="1" s="1"/>
  <c r="S56" i="1" a="1"/>
  <c r="S56" i="1" s="1"/>
  <c r="R56" i="1" a="1"/>
  <c r="R56" i="1" s="1"/>
  <c r="T55" i="1" a="1"/>
  <c r="T55" i="1" s="1"/>
  <c r="S55" i="1" a="1"/>
  <c r="S55" i="1" s="1"/>
  <c r="R55" i="1" a="1"/>
  <c r="R55" i="1" s="1"/>
  <c r="T54" i="1" a="1"/>
  <c r="T54" i="1" s="1"/>
  <c r="S54" i="1" a="1"/>
  <c r="S54" i="1" s="1"/>
  <c r="R54" i="1" a="1"/>
  <c r="R54" i="1" s="1"/>
  <c r="T53" i="1" a="1"/>
  <c r="T53" i="1" s="1"/>
  <c r="S53" i="1" a="1"/>
  <c r="S53" i="1" s="1"/>
  <c r="R53" i="1" a="1"/>
  <c r="R53" i="1" s="1"/>
  <c r="T52" i="1" a="1"/>
  <c r="T52" i="1" s="1"/>
  <c r="S52" i="1" a="1"/>
  <c r="S52" i="1" s="1"/>
  <c r="R52" i="1" a="1"/>
  <c r="R52" i="1" s="1"/>
  <c r="T45" i="1" a="1"/>
  <c r="T45" i="1" s="1"/>
  <c r="S45" i="1" a="1"/>
  <c r="S45" i="1" s="1"/>
  <c r="R45" i="1" a="1"/>
  <c r="R45" i="1" s="1"/>
  <c r="T44" i="1" a="1"/>
  <c r="T44" i="1" s="1"/>
  <c r="S44" i="1" a="1"/>
  <c r="S44" i="1" s="1"/>
  <c r="R44" i="1" a="1"/>
  <c r="R44" i="1" s="1"/>
  <c r="T43" i="1" a="1"/>
  <c r="T43" i="1" s="1"/>
  <c r="S43" i="1" a="1"/>
  <c r="S43" i="1" s="1"/>
  <c r="R43" i="1" a="1"/>
  <c r="R43" i="1" s="1"/>
  <c r="T42" i="1" a="1"/>
  <c r="T42" i="1" s="1"/>
  <c r="S42" i="1" a="1"/>
  <c r="S42" i="1" s="1"/>
  <c r="R42" i="1" a="1"/>
  <c r="R42" i="1" s="1"/>
  <c r="T41" i="1" a="1"/>
  <c r="T41" i="1" s="1"/>
  <c r="S41" i="1" a="1"/>
  <c r="S41" i="1" s="1"/>
  <c r="R41" i="1" a="1"/>
  <c r="R41" i="1" s="1"/>
  <c r="Q67" i="1" a="1"/>
  <c r="Q67" i="1" s="1"/>
  <c r="P67" i="1" a="1"/>
  <c r="P67" i="1" s="1"/>
  <c r="O67" i="1" a="1"/>
  <c r="O67" i="1" s="1"/>
  <c r="Q66" i="1" a="1"/>
  <c r="Q66" i="1" s="1"/>
  <c r="P66" i="1" a="1"/>
  <c r="P66" i="1" s="1"/>
  <c r="O66" i="1" a="1"/>
  <c r="O66" i="1" s="1"/>
  <c r="Q65" i="1" a="1"/>
  <c r="Q65" i="1" s="1"/>
  <c r="P65" i="1" a="1"/>
  <c r="P65" i="1" s="1"/>
  <c r="O65" i="1" a="1"/>
  <c r="O65" i="1" s="1"/>
  <c r="Q64" i="1" a="1"/>
  <c r="Q64" i="1" s="1"/>
  <c r="P64" i="1" a="1"/>
  <c r="P64" i="1" s="1"/>
  <c r="O64" i="1" a="1"/>
  <c r="O64" i="1" s="1"/>
  <c r="Q63" i="1" a="1"/>
  <c r="Q63" i="1" s="1"/>
  <c r="P63" i="1" a="1"/>
  <c r="P63" i="1" s="1"/>
  <c r="O63" i="1" a="1"/>
  <c r="O63" i="1" s="1"/>
  <c r="Q56" i="1" a="1"/>
  <c r="Q56" i="1" s="1"/>
  <c r="P56" i="1" a="1"/>
  <c r="P56" i="1" s="1"/>
  <c r="O56" i="1" a="1"/>
  <c r="O56" i="1" s="1"/>
  <c r="Q55" i="1" a="1"/>
  <c r="Q55" i="1" s="1"/>
  <c r="P55" i="1" a="1"/>
  <c r="P55" i="1" s="1"/>
  <c r="O55" i="1" a="1"/>
  <c r="O55" i="1" s="1"/>
  <c r="Q54" i="1" a="1"/>
  <c r="Q54" i="1" s="1"/>
  <c r="P54" i="1" a="1"/>
  <c r="P54" i="1" s="1"/>
  <c r="O54" i="1" a="1"/>
  <c r="O54" i="1" s="1"/>
  <c r="Q53" i="1" a="1"/>
  <c r="Q53" i="1" s="1"/>
  <c r="P53" i="1" a="1"/>
  <c r="P53" i="1" s="1"/>
  <c r="O53" i="1" a="1"/>
  <c r="O53" i="1" s="1"/>
  <c r="Q52" i="1" a="1"/>
  <c r="Q52" i="1" s="1"/>
  <c r="P52" i="1" a="1"/>
  <c r="P52" i="1" s="1"/>
  <c r="O52" i="1" a="1"/>
  <c r="O52" i="1" s="1"/>
  <c r="Q45" i="1" a="1"/>
  <c r="Q45" i="1" s="1"/>
  <c r="P45" i="1" a="1"/>
  <c r="P45" i="1" s="1"/>
  <c r="O45" i="1" a="1"/>
  <c r="O45" i="1" s="1"/>
  <c r="Q44" i="1" a="1"/>
  <c r="Q44" i="1" s="1"/>
  <c r="P44" i="1" a="1"/>
  <c r="P44" i="1" s="1"/>
  <c r="O44" i="1" a="1"/>
  <c r="O44" i="1" s="1"/>
  <c r="Q43" i="1" a="1"/>
  <c r="Q43" i="1" s="1"/>
  <c r="P43" i="1" a="1"/>
  <c r="P43" i="1" s="1"/>
  <c r="O43" i="1" a="1"/>
  <c r="O43" i="1" s="1"/>
  <c r="Q42" i="1" a="1"/>
  <c r="Q42" i="1" s="1"/>
  <c r="P42" i="1" a="1"/>
  <c r="P42" i="1" s="1"/>
  <c r="O42" i="1" a="1"/>
  <c r="O42" i="1" s="1"/>
  <c r="Q41" i="1" a="1"/>
  <c r="Q41" i="1" s="1"/>
  <c r="P41" i="1" a="1"/>
  <c r="P41" i="1" s="1"/>
  <c r="O41" i="1" a="1"/>
  <c r="O41" i="1" s="1"/>
  <c r="N67" i="1" a="1"/>
  <c r="N67" i="1" s="1"/>
  <c r="M67" i="1" a="1"/>
  <c r="M67" i="1" s="1"/>
  <c r="L67" i="1" a="1"/>
  <c r="L67" i="1" s="1"/>
  <c r="N66" i="1" a="1"/>
  <c r="N66" i="1" s="1"/>
  <c r="M66" i="1" a="1"/>
  <c r="M66" i="1" s="1"/>
  <c r="L66" i="1" a="1"/>
  <c r="L66" i="1" s="1"/>
  <c r="N65" i="1" a="1"/>
  <c r="N65" i="1" s="1"/>
  <c r="M65" i="1" a="1"/>
  <c r="M65" i="1" s="1"/>
  <c r="L65" i="1" a="1"/>
  <c r="L65" i="1" s="1"/>
  <c r="N64" i="1" a="1"/>
  <c r="N64" i="1" s="1"/>
  <c r="M64" i="1" a="1"/>
  <c r="M64" i="1" s="1"/>
  <c r="L64" i="1" a="1"/>
  <c r="L64" i="1" s="1"/>
  <c r="N63" i="1" a="1"/>
  <c r="N63" i="1" s="1"/>
  <c r="M63" i="1" a="1"/>
  <c r="M63" i="1" s="1"/>
  <c r="L63" i="1" a="1"/>
  <c r="L63" i="1" s="1"/>
  <c r="N56" i="1" a="1"/>
  <c r="N56" i="1" s="1"/>
  <c r="M56" i="1" a="1"/>
  <c r="M56" i="1" s="1"/>
  <c r="L56" i="1" a="1"/>
  <c r="L56" i="1" s="1"/>
  <c r="N55" i="1" a="1"/>
  <c r="N55" i="1" s="1"/>
  <c r="M55" i="1" a="1"/>
  <c r="M55" i="1" s="1"/>
  <c r="L55" i="1" a="1"/>
  <c r="L55" i="1" s="1"/>
  <c r="N54" i="1" a="1"/>
  <c r="N54" i="1" s="1"/>
  <c r="M54" i="1" a="1"/>
  <c r="M54" i="1" s="1"/>
  <c r="L54" i="1" a="1"/>
  <c r="L54" i="1" s="1"/>
  <c r="N53" i="1" a="1"/>
  <c r="N53" i="1" s="1"/>
  <c r="M53" i="1" a="1"/>
  <c r="M53" i="1" s="1"/>
  <c r="L53" i="1" a="1"/>
  <c r="L53" i="1" s="1"/>
  <c r="N52" i="1" a="1"/>
  <c r="N52" i="1" s="1"/>
  <c r="M52" i="1" a="1"/>
  <c r="M52" i="1" s="1"/>
  <c r="L52" i="1" a="1"/>
  <c r="L52" i="1" s="1"/>
  <c r="N45" i="1" a="1"/>
  <c r="N45" i="1" s="1"/>
  <c r="M45" i="1" a="1"/>
  <c r="M45" i="1" s="1"/>
  <c r="L45" i="1" a="1"/>
  <c r="L45" i="1" s="1"/>
  <c r="N44" i="1" a="1"/>
  <c r="N44" i="1" s="1"/>
  <c r="M44" i="1" a="1"/>
  <c r="M44" i="1" s="1"/>
  <c r="L44" i="1" a="1"/>
  <c r="L44" i="1" s="1"/>
  <c r="N43" i="1" a="1"/>
  <c r="N43" i="1" s="1"/>
  <c r="M43" i="1" a="1"/>
  <c r="M43" i="1" s="1"/>
  <c r="L43" i="1" a="1"/>
  <c r="L43" i="1" s="1"/>
  <c r="N42" i="1" a="1"/>
  <c r="N42" i="1" s="1"/>
  <c r="M42" i="1" a="1"/>
  <c r="M42" i="1" s="1"/>
  <c r="L42" i="1" a="1"/>
  <c r="L42" i="1" s="1"/>
  <c r="N41" i="1" a="1"/>
  <c r="N41" i="1" s="1"/>
  <c r="M41" i="1" a="1"/>
  <c r="M41" i="1" s="1"/>
  <c r="L41" i="1" a="1"/>
  <c r="L41" i="1" s="1"/>
  <c r="K67" i="1" a="1"/>
  <c r="K67" i="1" s="1"/>
  <c r="J67" i="1" a="1"/>
  <c r="J67" i="1" s="1"/>
  <c r="I67" i="1" a="1"/>
  <c r="I67" i="1" s="1"/>
  <c r="K66" i="1" a="1"/>
  <c r="K66" i="1" s="1"/>
  <c r="J66" i="1" a="1"/>
  <c r="J66" i="1" s="1"/>
  <c r="I66" i="1" a="1"/>
  <c r="I66" i="1" s="1"/>
  <c r="K65" i="1" a="1"/>
  <c r="K65" i="1" s="1"/>
  <c r="J65" i="1" a="1"/>
  <c r="J65" i="1" s="1"/>
  <c r="I65" i="1" a="1"/>
  <c r="I65" i="1" s="1"/>
  <c r="K64" i="1" a="1"/>
  <c r="K64" i="1" s="1"/>
  <c r="J64" i="1" a="1"/>
  <c r="J64" i="1" s="1"/>
  <c r="I64" i="1" a="1"/>
  <c r="I64" i="1" s="1"/>
  <c r="K63" i="1" a="1"/>
  <c r="K63" i="1" s="1"/>
  <c r="J63" i="1" a="1"/>
  <c r="J63" i="1" s="1"/>
  <c r="I63" i="1" a="1"/>
  <c r="I63" i="1" s="1"/>
  <c r="K56" i="1" a="1"/>
  <c r="K56" i="1" s="1"/>
  <c r="J56" i="1" a="1"/>
  <c r="J56" i="1" s="1"/>
  <c r="I56" i="1" a="1"/>
  <c r="I56" i="1" s="1"/>
  <c r="K55" i="1" a="1"/>
  <c r="K55" i="1" s="1"/>
  <c r="J55" i="1" a="1"/>
  <c r="J55" i="1" s="1"/>
  <c r="I55" i="1" a="1"/>
  <c r="I55" i="1" s="1"/>
  <c r="K54" i="1" a="1"/>
  <c r="K54" i="1" s="1"/>
  <c r="J54" i="1" a="1"/>
  <c r="J54" i="1" s="1"/>
  <c r="I54" i="1" a="1"/>
  <c r="I54" i="1" s="1"/>
  <c r="K53" i="1" a="1"/>
  <c r="K53" i="1" s="1"/>
  <c r="J53" i="1" a="1"/>
  <c r="J53" i="1" s="1"/>
  <c r="I53" i="1" a="1"/>
  <c r="I53" i="1" s="1"/>
  <c r="K52" i="1" a="1"/>
  <c r="K52" i="1" s="1"/>
  <c r="J52" i="1" a="1"/>
  <c r="J52" i="1" s="1"/>
  <c r="I52" i="1" a="1"/>
  <c r="I52" i="1" s="1"/>
  <c r="K45" i="1" a="1"/>
  <c r="K45" i="1" s="1"/>
  <c r="J45" i="1" a="1"/>
  <c r="J45" i="1" s="1"/>
  <c r="I45" i="1" a="1"/>
  <c r="I45" i="1" s="1"/>
  <c r="K44" i="1" a="1"/>
  <c r="K44" i="1" s="1"/>
  <c r="J44" i="1" a="1"/>
  <c r="J44" i="1" s="1"/>
  <c r="I44" i="1" a="1"/>
  <c r="I44" i="1" s="1"/>
  <c r="K43" i="1" a="1"/>
  <c r="K43" i="1" s="1"/>
  <c r="J43" i="1" a="1"/>
  <c r="J43" i="1" s="1"/>
  <c r="I43" i="1" a="1"/>
  <c r="I43" i="1" s="1"/>
  <c r="K42" i="1" a="1"/>
  <c r="K42" i="1" s="1"/>
  <c r="J42" i="1" a="1"/>
  <c r="J42" i="1" s="1"/>
  <c r="I42" i="1" a="1"/>
  <c r="I42" i="1" s="1"/>
  <c r="K41" i="1" a="1"/>
  <c r="K41" i="1" s="1"/>
  <c r="J41" i="1" a="1"/>
  <c r="J41" i="1" s="1"/>
  <c r="I41" i="1" a="1"/>
  <c r="I41" i="1" s="1"/>
  <c r="C41" i="1" a="1"/>
  <c r="C41" i="1" s="1"/>
  <c r="D41" i="1" a="1"/>
  <c r="D41" i="1"/>
  <c r="E41" i="1" a="1"/>
  <c r="E41" i="1" s="1"/>
  <c r="C42" i="1" a="1"/>
  <c r="C42" i="1"/>
  <c r="D42" i="1" a="1"/>
  <c r="D42" i="1" s="1"/>
  <c r="E42" i="1" a="1"/>
  <c r="E42" i="1"/>
  <c r="C43" i="1" a="1"/>
  <c r="C43" i="1" s="1"/>
  <c r="D43" i="1" a="1"/>
  <c r="D43" i="1"/>
  <c r="E43" i="1" a="1"/>
  <c r="E43" i="1" s="1"/>
  <c r="C44" i="1" a="1"/>
  <c r="C44" i="1"/>
  <c r="D44" i="1" a="1"/>
  <c r="D44" i="1" s="1"/>
  <c r="E44" i="1" a="1"/>
  <c r="E44" i="1"/>
  <c r="C45" i="1" a="1"/>
  <c r="C45" i="1" s="1"/>
  <c r="D45" i="1" a="1"/>
  <c r="D45" i="1"/>
  <c r="E45" i="1" a="1"/>
  <c r="E45" i="1" s="1"/>
  <c r="C30" i="1" a="1"/>
  <c r="C30" i="1" s="1"/>
  <c r="D30" i="1" a="1"/>
  <c r="D30" i="1"/>
  <c r="E30" i="1" a="1"/>
  <c r="E30" i="1"/>
  <c r="C31" i="1" a="1"/>
  <c r="C31" i="1"/>
  <c r="D31" i="1" a="1"/>
  <c r="D31" i="1"/>
  <c r="E31" i="1" a="1"/>
  <c r="E31" i="1"/>
  <c r="C32" i="1" a="1"/>
  <c r="C32" i="1"/>
  <c r="D32" i="1" a="1"/>
  <c r="D32" i="1"/>
  <c r="E32" i="1" a="1"/>
  <c r="E32" i="1"/>
  <c r="C33" i="1" a="1"/>
  <c r="C33" i="1"/>
  <c r="D33" i="1" a="1"/>
  <c r="D33" i="1"/>
  <c r="E33" i="1" a="1"/>
  <c r="E33" i="1"/>
  <c r="C34" i="1" a="1"/>
  <c r="C34" i="1"/>
  <c r="D34" i="1" a="1"/>
  <c r="D34" i="1"/>
  <c r="E34" i="1" a="1"/>
  <c r="E34" i="1"/>
  <c r="I30" i="1" a="1"/>
  <c r="I30" i="1" s="1"/>
  <c r="AR34" i="1" a="1"/>
  <c r="AR34" i="1" s="1"/>
  <c r="AQ34" i="1" a="1"/>
  <c r="AQ34" i="1" s="1"/>
  <c r="AP34" i="1" a="1"/>
  <c r="AP34" i="1" s="1"/>
  <c r="AR33" i="1" a="1"/>
  <c r="AR33" i="1" s="1"/>
  <c r="AQ33" i="1" a="1"/>
  <c r="AQ33" i="1" s="1"/>
  <c r="AP33" i="1" a="1"/>
  <c r="AP33" i="1" s="1"/>
  <c r="AR32" i="1" a="1"/>
  <c r="AR32" i="1" s="1"/>
  <c r="AQ32" i="1" a="1"/>
  <c r="AQ32" i="1" s="1"/>
  <c r="AP32" i="1" a="1"/>
  <c r="AP32" i="1" s="1"/>
  <c r="AR31" i="1" a="1"/>
  <c r="AR31" i="1" s="1"/>
  <c r="AQ31" i="1" a="1"/>
  <c r="AQ31" i="1" s="1"/>
  <c r="AP31" i="1" a="1"/>
  <c r="AP31" i="1" s="1"/>
  <c r="AR30" i="1" a="1"/>
  <c r="AR30" i="1" s="1"/>
  <c r="AQ30" i="1" a="1"/>
  <c r="AQ30" i="1" s="1"/>
  <c r="AP30" i="1" a="1"/>
  <c r="AP30" i="1" s="1"/>
  <c r="AO34" i="1" a="1"/>
  <c r="AO34" i="1" s="1"/>
  <c r="AN34" i="1" a="1"/>
  <c r="AN34" i="1" s="1"/>
  <c r="AM34" i="1" a="1"/>
  <c r="AM34" i="1" s="1"/>
  <c r="AO33" i="1" a="1"/>
  <c r="AO33" i="1" s="1"/>
  <c r="AN33" i="1" a="1"/>
  <c r="AN33" i="1" s="1"/>
  <c r="AM33" i="1" a="1"/>
  <c r="AM33" i="1" s="1"/>
  <c r="AO32" i="1" a="1"/>
  <c r="AO32" i="1" s="1"/>
  <c r="AN32" i="1" a="1"/>
  <c r="AN32" i="1" s="1"/>
  <c r="AM32" i="1" a="1"/>
  <c r="AM32" i="1" s="1"/>
  <c r="AO31" i="1" a="1"/>
  <c r="AO31" i="1" s="1"/>
  <c r="AN31" i="1" a="1"/>
  <c r="AN31" i="1" s="1"/>
  <c r="AM31" i="1" a="1"/>
  <c r="AM31" i="1" s="1"/>
  <c r="AO30" i="1" a="1"/>
  <c r="AO30" i="1" s="1"/>
  <c r="AN30" i="1" a="1"/>
  <c r="AN30" i="1" s="1"/>
  <c r="AM30" i="1" a="1"/>
  <c r="AM30" i="1" s="1"/>
  <c r="AI34" i="1" a="1"/>
  <c r="AI34" i="1" s="1"/>
  <c r="AH34" i="1" a="1"/>
  <c r="AH34" i="1" s="1"/>
  <c r="AG34" i="1" a="1"/>
  <c r="AG34" i="1" s="1"/>
  <c r="AI33" i="1" a="1"/>
  <c r="AI33" i="1" s="1"/>
  <c r="AH33" i="1" a="1"/>
  <c r="AH33" i="1" s="1"/>
  <c r="AG33" i="1" a="1"/>
  <c r="AG33" i="1" s="1"/>
  <c r="AI32" i="1" a="1"/>
  <c r="AI32" i="1" s="1"/>
  <c r="AH32" i="1" a="1"/>
  <c r="AH32" i="1" s="1"/>
  <c r="AG32" i="1" a="1"/>
  <c r="AG32" i="1" s="1"/>
  <c r="AI31" i="1" a="1"/>
  <c r="AI31" i="1" s="1"/>
  <c r="AH31" i="1" a="1"/>
  <c r="AH31" i="1" s="1"/>
  <c r="AG31" i="1" a="1"/>
  <c r="AG31" i="1" s="1"/>
  <c r="AI30" i="1" a="1"/>
  <c r="AI30" i="1" s="1"/>
  <c r="AH30" i="1" a="1"/>
  <c r="AH30" i="1" s="1"/>
  <c r="AG30" i="1" a="1"/>
  <c r="AG30" i="1" s="1"/>
  <c r="AF34" i="1" a="1"/>
  <c r="AF34" i="1" s="1"/>
  <c r="AE34" i="1" a="1"/>
  <c r="AE34" i="1" s="1"/>
  <c r="AD34" i="1" a="1"/>
  <c r="AD34" i="1" s="1"/>
  <c r="AF33" i="1" a="1"/>
  <c r="AF33" i="1" s="1"/>
  <c r="AE33" i="1" a="1"/>
  <c r="AE33" i="1" s="1"/>
  <c r="AD33" i="1" a="1"/>
  <c r="AD33" i="1" s="1"/>
  <c r="AF32" i="1" a="1"/>
  <c r="AF32" i="1" s="1"/>
  <c r="AE32" i="1" a="1"/>
  <c r="AE32" i="1" s="1"/>
  <c r="AD32" i="1" a="1"/>
  <c r="AD32" i="1" s="1"/>
  <c r="AF31" i="1" a="1"/>
  <c r="AF31" i="1" s="1"/>
  <c r="AE31" i="1" a="1"/>
  <c r="AE31" i="1" s="1"/>
  <c r="AD31" i="1" a="1"/>
  <c r="AD31" i="1" s="1"/>
  <c r="AF30" i="1" a="1"/>
  <c r="AF30" i="1" s="1"/>
  <c r="AE30" i="1" a="1"/>
  <c r="AE30" i="1" s="1"/>
  <c r="AD30" i="1" a="1"/>
  <c r="AD30" i="1" s="1"/>
  <c r="Z34" i="1" a="1"/>
  <c r="Z34" i="1" s="1"/>
  <c r="Y34" i="1" a="1"/>
  <c r="Y34" i="1" s="1"/>
  <c r="X34" i="1" a="1"/>
  <c r="X34" i="1" s="1"/>
  <c r="Z33" i="1" a="1"/>
  <c r="Z33" i="1" s="1"/>
  <c r="Y33" i="1" a="1"/>
  <c r="Y33" i="1" s="1"/>
  <c r="X33" i="1" a="1"/>
  <c r="X33" i="1" s="1"/>
  <c r="Z32" i="1" a="1"/>
  <c r="Z32" i="1" s="1"/>
  <c r="Y32" i="1" a="1"/>
  <c r="Y32" i="1" s="1"/>
  <c r="X32" i="1" a="1"/>
  <c r="X32" i="1" s="1"/>
  <c r="Z31" i="1" a="1"/>
  <c r="Z31" i="1" s="1"/>
  <c r="Y31" i="1" a="1"/>
  <c r="Y31" i="1" s="1"/>
  <c r="X31" i="1" a="1"/>
  <c r="X31" i="1" s="1"/>
  <c r="Z30" i="1" a="1"/>
  <c r="Z30" i="1" s="1"/>
  <c r="Y30" i="1" a="1"/>
  <c r="Y30" i="1" s="1"/>
  <c r="X30" i="1" a="1"/>
  <c r="X30" i="1" s="1"/>
  <c r="W34" i="1" a="1"/>
  <c r="W34" i="1" s="1"/>
  <c r="V34" i="1" a="1"/>
  <c r="V34" i="1" s="1"/>
  <c r="U34" i="1" a="1"/>
  <c r="U34" i="1" s="1"/>
  <c r="W33" i="1" a="1"/>
  <c r="W33" i="1" s="1"/>
  <c r="V33" i="1" a="1"/>
  <c r="V33" i="1" s="1"/>
  <c r="U33" i="1" a="1"/>
  <c r="U33" i="1" s="1"/>
  <c r="W32" i="1" a="1"/>
  <c r="W32" i="1" s="1"/>
  <c r="V32" i="1" a="1"/>
  <c r="V32" i="1" s="1"/>
  <c r="U32" i="1" a="1"/>
  <c r="U32" i="1" s="1"/>
  <c r="W31" i="1" a="1"/>
  <c r="W31" i="1" s="1"/>
  <c r="V31" i="1" a="1"/>
  <c r="V31" i="1" s="1"/>
  <c r="U31" i="1" a="1"/>
  <c r="U31" i="1" s="1"/>
  <c r="W30" i="1" a="1"/>
  <c r="W30" i="1" s="1"/>
  <c r="V30" i="1" a="1"/>
  <c r="V30" i="1" s="1"/>
  <c r="U30" i="1" a="1"/>
  <c r="U30" i="1" s="1"/>
  <c r="T34" i="1" a="1"/>
  <c r="T34" i="1" s="1"/>
  <c r="S34" i="1" a="1"/>
  <c r="S34" i="1" s="1"/>
  <c r="R34" i="1" a="1"/>
  <c r="R34" i="1" s="1"/>
  <c r="T33" i="1" a="1"/>
  <c r="T33" i="1" s="1"/>
  <c r="S33" i="1" a="1"/>
  <c r="S33" i="1" s="1"/>
  <c r="R33" i="1" a="1"/>
  <c r="R33" i="1" s="1"/>
  <c r="T32" i="1" a="1"/>
  <c r="T32" i="1" s="1"/>
  <c r="S32" i="1" a="1"/>
  <c r="S32" i="1" s="1"/>
  <c r="R32" i="1" a="1"/>
  <c r="R32" i="1" s="1"/>
  <c r="T31" i="1" a="1"/>
  <c r="T31" i="1" s="1"/>
  <c r="S31" i="1" a="1"/>
  <c r="S31" i="1" s="1"/>
  <c r="R31" i="1" a="1"/>
  <c r="R31" i="1" s="1"/>
  <c r="T30" i="1" a="1"/>
  <c r="T30" i="1" s="1"/>
  <c r="S30" i="1" a="1"/>
  <c r="S30" i="1" s="1"/>
  <c r="R30" i="1" a="1"/>
  <c r="R30" i="1" s="1"/>
  <c r="Q34" i="1" a="1"/>
  <c r="Q34" i="1" s="1"/>
  <c r="P34" i="1" a="1"/>
  <c r="P34" i="1" s="1"/>
  <c r="O34" i="1" a="1"/>
  <c r="O34" i="1" s="1"/>
  <c r="Q33" i="1" a="1"/>
  <c r="Q33" i="1" s="1"/>
  <c r="P33" i="1" a="1"/>
  <c r="P33" i="1" s="1"/>
  <c r="O33" i="1" a="1"/>
  <c r="O33" i="1" s="1"/>
  <c r="Q32" i="1" a="1"/>
  <c r="Q32" i="1" s="1"/>
  <c r="P32" i="1" a="1"/>
  <c r="P32" i="1" s="1"/>
  <c r="O32" i="1" a="1"/>
  <c r="O32" i="1" s="1"/>
  <c r="Q31" i="1" a="1"/>
  <c r="Q31" i="1" s="1"/>
  <c r="P31" i="1" a="1"/>
  <c r="P31" i="1" s="1"/>
  <c r="O31" i="1" a="1"/>
  <c r="O31" i="1" s="1"/>
  <c r="Q30" i="1" a="1"/>
  <c r="Q30" i="1" s="1"/>
  <c r="P30" i="1" a="1"/>
  <c r="P30" i="1" s="1"/>
  <c r="O30" i="1" a="1"/>
  <c r="O30" i="1" s="1"/>
  <c r="N34" i="1" a="1"/>
  <c r="N34" i="1" s="1"/>
  <c r="M34" i="1" a="1"/>
  <c r="M34" i="1" s="1"/>
  <c r="L34" i="1" a="1"/>
  <c r="L34" i="1" s="1"/>
  <c r="N33" i="1" a="1"/>
  <c r="N33" i="1" s="1"/>
  <c r="M33" i="1" a="1"/>
  <c r="M33" i="1" s="1"/>
  <c r="L33" i="1" a="1"/>
  <c r="L33" i="1" s="1"/>
  <c r="N32" i="1" a="1"/>
  <c r="N32" i="1" s="1"/>
  <c r="M32" i="1" a="1"/>
  <c r="M32" i="1" s="1"/>
  <c r="L32" i="1" a="1"/>
  <c r="L32" i="1" s="1"/>
  <c r="N31" i="1" a="1"/>
  <c r="N31" i="1" s="1"/>
  <c r="M31" i="1" a="1"/>
  <c r="M31" i="1" s="1"/>
  <c r="L31" i="1" a="1"/>
  <c r="L31" i="1" s="1"/>
  <c r="N30" i="1" a="1"/>
  <c r="N30" i="1" s="1"/>
  <c r="M30" i="1" a="1"/>
  <c r="M30" i="1" s="1"/>
  <c r="L30" i="1" a="1"/>
  <c r="L30" i="1" s="1"/>
  <c r="K34" i="1" a="1"/>
  <c r="K34" i="1" s="1"/>
  <c r="J34" i="1" a="1"/>
  <c r="J34" i="1" s="1"/>
  <c r="I34" i="1" a="1"/>
  <c r="I34" i="1" s="1"/>
  <c r="K33" i="1" a="1"/>
  <c r="K33" i="1" s="1"/>
  <c r="J33" i="1" a="1"/>
  <c r="J33" i="1" s="1"/>
  <c r="I33" i="1" a="1"/>
  <c r="I33" i="1" s="1"/>
  <c r="K32" i="1" a="1"/>
  <c r="K32" i="1" s="1"/>
  <c r="J32" i="1" a="1"/>
  <c r="J32" i="1" s="1"/>
  <c r="I32" i="1" a="1"/>
  <c r="I32" i="1" s="1"/>
  <c r="K31" i="1" a="1"/>
  <c r="K31" i="1" s="1"/>
  <c r="J31" i="1" a="1"/>
  <c r="J31" i="1" s="1"/>
  <c r="I31" i="1" a="1"/>
  <c r="I31" i="1" s="1"/>
  <c r="K30" i="1" a="1"/>
  <c r="K30" i="1" s="1"/>
  <c r="J30" i="1" a="1"/>
  <c r="J30" i="1" s="1"/>
  <c r="H67" i="1" a="1"/>
  <c r="H67" i="1" s="1"/>
  <c r="G67" i="1" a="1"/>
  <c r="G67" i="1" s="1"/>
  <c r="F67" i="1" a="1"/>
  <c r="F67" i="1" s="1"/>
  <c r="H66" i="1" a="1"/>
  <c r="H66" i="1" s="1"/>
  <c r="G66" i="1" a="1"/>
  <c r="G66" i="1" s="1"/>
  <c r="F66" i="1" a="1"/>
  <c r="F66" i="1" s="1"/>
  <c r="H65" i="1" a="1"/>
  <c r="H65" i="1" s="1"/>
  <c r="G65" i="1" a="1"/>
  <c r="G65" i="1" s="1"/>
  <c r="F65" i="1" a="1"/>
  <c r="F65" i="1" s="1"/>
  <c r="H64" i="1" a="1"/>
  <c r="H64" i="1" s="1"/>
  <c r="G64" i="1" a="1"/>
  <c r="G64" i="1" s="1"/>
  <c r="F64" i="1" a="1"/>
  <c r="F64" i="1" s="1"/>
  <c r="H63" i="1" a="1"/>
  <c r="H63" i="1" s="1"/>
  <c r="G63" i="1" a="1"/>
  <c r="G63" i="1" s="1"/>
  <c r="F63" i="1" a="1"/>
  <c r="F63" i="1" s="1"/>
  <c r="H56" i="1" a="1"/>
  <c r="H56" i="1" s="1"/>
  <c r="G56" i="1" a="1"/>
  <c r="G56" i="1" s="1"/>
  <c r="F56" i="1" a="1"/>
  <c r="F56" i="1" s="1"/>
  <c r="H55" i="1" a="1"/>
  <c r="H55" i="1" s="1"/>
  <c r="G55" i="1" a="1"/>
  <c r="G55" i="1" s="1"/>
  <c r="F55" i="1" a="1"/>
  <c r="F55" i="1" s="1"/>
  <c r="H54" i="1" a="1"/>
  <c r="H54" i="1" s="1"/>
  <c r="G54" i="1" a="1"/>
  <c r="G54" i="1" s="1"/>
  <c r="F54" i="1" a="1"/>
  <c r="F54" i="1" s="1"/>
  <c r="H53" i="1" a="1"/>
  <c r="H53" i="1" s="1"/>
  <c r="G53" i="1" a="1"/>
  <c r="G53" i="1" s="1"/>
  <c r="F53" i="1" a="1"/>
  <c r="F53" i="1" s="1"/>
  <c r="H52" i="1" a="1"/>
  <c r="H52" i="1" s="1"/>
  <c r="G52" i="1" a="1"/>
  <c r="G52" i="1" s="1"/>
  <c r="F52" i="1" a="1"/>
  <c r="F52" i="1" s="1"/>
  <c r="H45" i="1" a="1"/>
  <c r="H45" i="1" s="1"/>
  <c r="G45" i="1" a="1"/>
  <c r="G45" i="1" s="1"/>
  <c r="F45" i="1" a="1"/>
  <c r="F45" i="1" s="1"/>
  <c r="H44" i="1" a="1"/>
  <c r="H44" i="1" s="1"/>
  <c r="G44" i="1" a="1"/>
  <c r="G44" i="1" s="1"/>
  <c r="F44" i="1" a="1"/>
  <c r="F44" i="1" s="1"/>
  <c r="H43" i="1" a="1"/>
  <c r="H43" i="1" s="1"/>
  <c r="G43" i="1"/>
  <c r="G43" i="1" a="1"/>
  <c r="F43" i="1" a="1"/>
  <c r="F43" i="1" s="1"/>
  <c r="H42" i="1" a="1"/>
  <c r="H42" i="1" s="1"/>
  <c r="G42" i="1" a="1"/>
  <c r="G42" i="1" s="1"/>
  <c r="F42" i="1" a="1"/>
  <c r="F42" i="1" s="1"/>
  <c r="H41" i="1" a="1"/>
  <c r="H41" i="1" s="1"/>
  <c r="G41" i="1" a="1"/>
  <c r="G41" i="1" s="1"/>
  <c r="F41" i="1" a="1"/>
  <c r="F41" i="1" s="1"/>
  <c r="H34" i="1" a="1"/>
  <c r="H34" i="1" s="1"/>
  <c r="G34" i="1" a="1"/>
  <c r="G34" i="1" s="1"/>
  <c r="F34" i="1" a="1"/>
  <c r="F34" i="1" s="1"/>
  <c r="H33" i="1" a="1"/>
  <c r="H33" i="1" s="1"/>
  <c r="G33" i="1" a="1"/>
  <c r="G33" i="1" s="1"/>
  <c r="F33" i="1" a="1"/>
  <c r="F33" i="1" s="1"/>
  <c r="H32" i="1" a="1"/>
  <c r="H32" i="1" s="1"/>
  <c r="G32" i="1" a="1"/>
  <c r="G32" i="1" s="1"/>
  <c r="F32" i="1" a="1"/>
  <c r="F32" i="1" s="1"/>
  <c r="H31" i="1" a="1"/>
  <c r="H31" i="1" s="1"/>
  <c r="G31" i="1" a="1"/>
  <c r="G31" i="1" s="1"/>
  <c r="F31" i="1" a="1"/>
  <c r="F31" i="1" s="1"/>
  <c r="H30" i="1" a="1"/>
  <c r="H30" i="1" s="1"/>
  <c r="G30" i="1" a="1"/>
  <c r="G30" i="1" s="1"/>
  <c r="F30" i="1" a="1"/>
  <c r="F30" i="1" s="1"/>
  <c r="E67" i="1" a="1"/>
  <c r="E67" i="1" s="1"/>
  <c r="D67" i="1" a="1"/>
  <c r="D67" i="1" s="1"/>
  <c r="C67" i="1" a="1"/>
  <c r="C67" i="1" s="1"/>
  <c r="E66" i="1" a="1"/>
  <c r="E66" i="1" s="1"/>
  <c r="D66" i="1" a="1"/>
  <c r="D66" i="1" s="1"/>
  <c r="C66" i="1" a="1"/>
  <c r="C66" i="1" s="1"/>
  <c r="E65" i="1" a="1"/>
  <c r="E65" i="1" s="1"/>
  <c r="D65" i="1" a="1"/>
  <c r="D65" i="1" s="1"/>
  <c r="C65" i="1" a="1"/>
  <c r="C65" i="1" s="1"/>
  <c r="E64" i="1" a="1"/>
  <c r="E64" i="1" s="1"/>
  <c r="D64" i="1" a="1"/>
  <c r="D64" i="1" s="1"/>
  <c r="C64" i="1" a="1"/>
  <c r="C64" i="1" s="1"/>
  <c r="E63" i="1" a="1"/>
  <c r="E63" i="1" s="1"/>
  <c r="D63" i="1" a="1"/>
  <c r="D63" i="1" s="1"/>
  <c r="C63" i="1" a="1"/>
  <c r="C63" i="1" s="1"/>
  <c r="E56" i="1" a="1"/>
  <c r="E56" i="1" s="1"/>
  <c r="D56" i="1" a="1"/>
  <c r="D56" i="1" s="1"/>
  <c r="C56" i="1" a="1"/>
  <c r="C56" i="1" s="1"/>
  <c r="E55" i="1" a="1"/>
  <c r="E55" i="1" s="1"/>
  <c r="D55" i="1" a="1"/>
  <c r="D55" i="1" s="1"/>
  <c r="C55" i="1" a="1"/>
  <c r="C55" i="1" s="1"/>
  <c r="E54" i="1" a="1"/>
  <c r="E54" i="1" s="1"/>
  <c r="D54" i="1" a="1"/>
  <c r="D54" i="1" s="1"/>
  <c r="C54" i="1" a="1"/>
  <c r="C54" i="1" s="1"/>
  <c r="E53" i="1" a="1"/>
  <c r="E53" i="1" s="1"/>
  <c r="D53" i="1" a="1"/>
  <c r="D53" i="1" s="1"/>
  <c r="C53" i="1" a="1"/>
  <c r="C53" i="1" s="1"/>
  <c r="E52" i="1" a="1"/>
  <c r="E52" i="1" s="1"/>
  <c r="D52" i="1" a="1"/>
  <c r="D52" i="1" s="1"/>
  <c r="C52" i="1" a="1"/>
  <c r="C52" i="1" s="1"/>
  <c r="AF68" i="1" l="1"/>
  <c r="AE68" i="1"/>
  <c r="AD68" i="1"/>
  <c r="AF57" i="1"/>
  <c r="AE57" i="1"/>
  <c r="AD57" i="1"/>
  <c r="AF46" i="1"/>
  <c r="AE46" i="1"/>
  <c r="AD46" i="1"/>
  <c r="AF35" i="1"/>
  <c r="AE35" i="1"/>
  <c r="AD35" i="1"/>
  <c r="Q68" i="1"/>
  <c r="P68" i="1"/>
  <c r="O68" i="1"/>
  <c r="Q57" i="1"/>
  <c r="P57" i="1"/>
  <c r="O57" i="1"/>
  <c r="Q46" i="1"/>
  <c r="P46" i="1"/>
  <c r="O46" i="1"/>
  <c r="Q35" i="1"/>
  <c r="P35" i="1"/>
  <c r="O35" i="1"/>
  <c r="AO68" i="1"/>
  <c r="AN68" i="1"/>
  <c r="AM68" i="1"/>
  <c r="AO57" i="1"/>
  <c r="AN57" i="1"/>
  <c r="AM57" i="1"/>
  <c r="AO46" i="1"/>
  <c r="AN46" i="1"/>
  <c r="AM46" i="1"/>
  <c r="AO35" i="1"/>
  <c r="AN35" i="1"/>
  <c r="AM35" i="1"/>
  <c r="AR68" i="1"/>
  <c r="AQ68" i="1"/>
  <c r="AP68" i="1"/>
  <c r="AR57" i="1"/>
  <c r="AQ57" i="1"/>
  <c r="AP57" i="1"/>
  <c r="AR46" i="1"/>
  <c r="AQ46" i="1"/>
  <c r="AP46" i="1"/>
  <c r="AR35" i="1"/>
  <c r="AQ35" i="1"/>
  <c r="AP35" i="1"/>
  <c r="AI68" i="1"/>
  <c r="AH68" i="1"/>
  <c r="AG68" i="1"/>
  <c r="AI57" i="1"/>
  <c r="AH57" i="1"/>
  <c r="AG57" i="1"/>
  <c r="AI46" i="1"/>
  <c r="AH46" i="1"/>
  <c r="AG46" i="1"/>
  <c r="AI35" i="1"/>
  <c r="AH35" i="1"/>
  <c r="AG35" i="1"/>
  <c r="AC67" i="1"/>
  <c r="AB67" i="1"/>
  <c r="AA67" i="1"/>
  <c r="AC66" i="1"/>
  <c r="AB66" i="1"/>
  <c r="AA66" i="1"/>
  <c r="AC65" i="1"/>
  <c r="AB65" i="1"/>
  <c r="AA65" i="1"/>
  <c r="AC64" i="1"/>
  <c r="AB64" i="1"/>
  <c r="AA64" i="1"/>
  <c r="AC63" i="1"/>
  <c r="AB63" i="1"/>
  <c r="AA63" i="1"/>
  <c r="AC56" i="1"/>
  <c r="AB56" i="1"/>
  <c r="AA56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C34" i="1"/>
  <c r="AC33" i="1"/>
  <c r="AC32" i="1"/>
  <c r="AC31" i="1"/>
  <c r="AC30" i="1"/>
  <c r="AB34" i="1"/>
  <c r="AB33" i="1"/>
  <c r="AB32" i="1"/>
  <c r="AB31" i="1"/>
  <c r="AB30" i="1"/>
  <c r="AA34" i="1"/>
  <c r="AA33" i="1"/>
  <c r="AA32" i="1"/>
  <c r="AA31" i="1"/>
  <c r="AA30" i="1"/>
  <c r="AC46" i="1" l="1"/>
  <c r="AB68" i="1"/>
  <c r="AC68" i="1"/>
  <c r="AA35" i="1"/>
  <c r="AC35" i="1"/>
  <c r="AA57" i="1"/>
  <c r="AA46" i="1"/>
  <c r="AB57" i="1"/>
  <c r="AB46" i="1"/>
  <c r="AC57" i="1"/>
  <c r="AB35" i="1"/>
  <c r="AA68" i="1"/>
  <c r="C60" i="1"/>
  <c r="C49" i="1"/>
  <c r="C38" i="1"/>
  <c r="Z68" i="1"/>
  <c r="Y68" i="1"/>
  <c r="X68" i="1"/>
  <c r="W68" i="1"/>
  <c r="V68" i="1"/>
  <c r="U68" i="1"/>
  <c r="T68" i="1"/>
  <c r="S68" i="1"/>
  <c r="R68" i="1"/>
  <c r="N68" i="1"/>
  <c r="M68" i="1"/>
  <c r="L68" i="1"/>
  <c r="K68" i="1"/>
  <c r="J68" i="1"/>
  <c r="I68" i="1"/>
  <c r="H68" i="1"/>
  <c r="G68" i="1"/>
  <c r="F68" i="1"/>
  <c r="E68" i="1"/>
  <c r="D68" i="1"/>
  <c r="C68" i="1"/>
  <c r="AL67" i="1"/>
  <c r="AK67" i="1"/>
  <c r="AJ67" i="1"/>
  <c r="AL66" i="1"/>
  <c r="AK66" i="1"/>
  <c r="AJ66" i="1"/>
  <c r="AL65" i="1"/>
  <c r="AK65" i="1"/>
  <c r="AJ65" i="1"/>
  <c r="AL64" i="1"/>
  <c r="AK64" i="1"/>
  <c r="AJ64" i="1"/>
  <c r="AL63" i="1"/>
  <c r="AK63" i="1"/>
  <c r="AJ63" i="1"/>
  <c r="Z57" i="1"/>
  <c r="Y57" i="1"/>
  <c r="X57" i="1"/>
  <c r="W57" i="1"/>
  <c r="V57" i="1"/>
  <c r="U57" i="1"/>
  <c r="T57" i="1"/>
  <c r="S57" i="1"/>
  <c r="R57" i="1"/>
  <c r="N57" i="1"/>
  <c r="M57" i="1"/>
  <c r="L57" i="1"/>
  <c r="K57" i="1"/>
  <c r="J57" i="1"/>
  <c r="I57" i="1"/>
  <c r="H57" i="1"/>
  <c r="G57" i="1"/>
  <c r="F57" i="1"/>
  <c r="E57" i="1"/>
  <c r="D57" i="1"/>
  <c r="C57" i="1"/>
  <c r="AL56" i="1"/>
  <c r="AK56" i="1"/>
  <c r="AJ56" i="1"/>
  <c r="AL55" i="1"/>
  <c r="AK55" i="1"/>
  <c r="AJ55" i="1"/>
  <c r="AL54" i="1"/>
  <c r="AK54" i="1"/>
  <c r="AJ54" i="1"/>
  <c r="AL53" i="1"/>
  <c r="AK53" i="1"/>
  <c r="AJ53" i="1"/>
  <c r="AL52" i="1"/>
  <c r="AK52" i="1"/>
  <c r="AJ52" i="1"/>
  <c r="Z46" i="1"/>
  <c r="Y46" i="1"/>
  <c r="X46" i="1"/>
  <c r="W46" i="1"/>
  <c r="V46" i="1"/>
  <c r="U46" i="1"/>
  <c r="T46" i="1"/>
  <c r="S46" i="1"/>
  <c r="R46" i="1"/>
  <c r="N46" i="1"/>
  <c r="M46" i="1"/>
  <c r="L46" i="1"/>
  <c r="K46" i="1"/>
  <c r="J46" i="1"/>
  <c r="I46" i="1"/>
  <c r="H46" i="1"/>
  <c r="G46" i="1"/>
  <c r="F46" i="1"/>
  <c r="E46" i="1"/>
  <c r="D46" i="1"/>
  <c r="C46" i="1"/>
  <c r="AL45" i="1"/>
  <c r="AK45" i="1"/>
  <c r="AJ45" i="1"/>
  <c r="AL44" i="1"/>
  <c r="AK44" i="1"/>
  <c r="AJ44" i="1"/>
  <c r="AL43" i="1"/>
  <c r="AK43" i="1"/>
  <c r="AJ43" i="1"/>
  <c r="AL42" i="1"/>
  <c r="AK42" i="1"/>
  <c r="AJ42" i="1"/>
  <c r="AL41" i="1"/>
  <c r="AK41" i="1"/>
  <c r="AJ41" i="1"/>
  <c r="C27" i="1"/>
  <c r="B5" i="1"/>
  <c r="AC11" i="1" s="1"/>
  <c r="AF14" i="1" l="1"/>
  <c r="AE13" i="1"/>
  <c r="AD12" i="1"/>
  <c r="AF9" i="1"/>
  <c r="AF15" i="1"/>
  <c r="AE14" i="1"/>
  <c r="AD13" i="1"/>
  <c r="AF11" i="1"/>
  <c r="AE9" i="1"/>
  <c r="AE15" i="1"/>
  <c r="AD14" i="1"/>
  <c r="AF12" i="1"/>
  <c r="AE11" i="1"/>
  <c r="AD9" i="1"/>
  <c r="AD15" i="1"/>
  <c r="AF13" i="1"/>
  <c r="AE12" i="1"/>
  <c r="AD11" i="1"/>
  <c r="N11" i="1"/>
  <c r="N13" i="1"/>
  <c r="Q15" i="1"/>
  <c r="P14" i="1"/>
  <c r="O13" i="1"/>
  <c r="Q11" i="1"/>
  <c r="P9" i="1"/>
  <c r="O15" i="1"/>
  <c r="P12" i="1"/>
  <c r="P15" i="1"/>
  <c r="O14" i="1"/>
  <c r="Q12" i="1"/>
  <c r="P11" i="1"/>
  <c r="O9" i="1"/>
  <c r="Q13" i="1"/>
  <c r="O11" i="1"/>
  <c r="Q14" i="1"/>
  <c r="P13" i="1"/>
  <c r="O12" i="1"/>
  <c r="Q9" i="1"/>
  <c r="AO15" i="1"/>
  <c r="AN14" i="1"/>
  <c r="AM13" i="1"/>
  <c r="AO11" i="1"/>
  <c r="AN9" i="1"/>
  <c r="AM12" i="1"/>
  <c r="AN15" i="1"/>
  <c r="AM14" i="1"/>
  <c r="AO12" i="1"/>
  <c r="AN11" i="1"/>
  <c r="AM9" i="1"/>
  <c r="AN13" i="1"/>
  <c r="AO9" i="1"/>
  <c r="AM15" i="1"/>
  <c r="AO13" i="1"/>
  <c r="AN12" i="1"/>
  <c r="AM11" i="1"/>
  <c r="AO14" i="1"/>
  <c r="AL46" i="1"/>
  <c r="AJ57" i="1"/>
  <c r="AK46" i="1"/>
  <c r="AK57" i="1"/>
  <c r="AK68" i="1"/>
  <c r="AJ46" i="1"/>
  <c r="AJ68" i="1"/>
  <c r="AL57" i="1"/>
  <c r="AL68" i="1"/>
  <c r="AQ15" i="1"/>
  <c r="AI15" i="1"/>
  <c r="AH14" i="1"/>
  <c r="AG13" i="1"/>
  <c r="AI11" i="1"/>
  <c r="AB15" i="1"/>
  <c r="AA14" i="1"/>
  <c r="AC12" i="1"/>
  <c r="AB11" i="1"/>
  <c r="AP9" i="1"/>
  <c r="AI9" i="1"/>
  <c r="AB9" i="1"/>
  <c r="X9" i="1"/>
  <c r="T9" i="1"/>
  <c r="M9" i="1"/>
  <c r="I9" i="1"/>
  <c r="E9" i="1"/>
  <c r="AH15" i="1"/>
  <c r="AG14" i="1"/>
  <c r="AI12" i="1"/>
  <c r="AH11" i="1"/>
  <c r="AA15" i="1"/>
  <c r="AC13" i="1"/>
  <c r="AB12" i="1"/>
  <c r="AA11" i="1"/>
  <c r="AL9" i="1"/>
  <c r="AH9" i="1"/>
  <c r="AA9" i="1"/>
  <c r="W9" i="1"/>
  <c r="S9" i="1"/>
  <c r="L9" i="1"/>
  <c r="H9" i="1"/>
  <c r="D9" i="1"/>
  <c r="AG15" i="1"/>
  <c r="AI13" i="1"/>
  <c r="AH12" i="1"/>
  <c r="AG11" i="1"/>
  <c r="AC14" i="1"/>
  <c r="AB13" i="1"/>
  <c r="AA12" i="1"/>
  <c r="AR9" i="1"/>
  <c r="AK9" i="1"/>
  <c r="AG9" i="1"/>
  <c r="Z9" i="1"/>
  <c r="V9" i="1"/>
  <c r="R9" i="1"/>
  <c r="K9" i="1"/>
  <c r="G9" i="1"/>
  <c r="C9" i="1"/>
  <c r="AI14" i="1"/>
  <c r="AH13" i="1"/>
  <c r="AG12" i="1"/>
  <c r="AC15" i="1"/>
  <c r="AB14" i="1"/>
  <c r="AA13" i="1"/>
  <c r="AQ9" i="1"/>
  <c r="AJ9" i="1"/>
  <c r="AC9" i="1"/>
  <c r="Y9" i="1"/>
  <c r="U9" i="1"/>
  <c r="N9" i="1"/>
  <c r="J9" i="1"/>
  <c r="F9" i="1"/>
  <c r="B11" i="1"/>
  <c r="E12" i="1"/>
  <c r="G12" i="1"/>
  <c r="Z12" i="1"/>
  <c r="S13" i="1"/>
  <c r="B14" i="1"/>
  <c r="E15" i="1"/>
  <c r="T11" i="1"/>
  <c r="J12" i="1"/>
  <c r="V13" i="1"/>
  <c r="AQ14" i="1"/>
  <c r="C14" i="1"/>
  <c r="F15" i="1"/>
  <c r="Y11" i="1"/>
  <c r="R12" i="1"/>
  <c r="H13" i="1"/>
  <c r="H14" i="1"/>
  <c r="T15" i="1"/>
  <c r="D12" i="1"/>
  <c r="I11" i="1"/>
  <c r="U12" i="1"/>
  <c r="K13" i="1"/>
  <c r="L14" i="1"/>
  <c r="X15" i="1"/>
  <c r="B15" i="1"/>
  <c r="D13" i="1"/>
  <c r="F11" i="1"/>
  <c r="J11" i="1"/>
  <c r="U11" i="1"/>
  <c r="K12" i="1"/>
  <c r="V12" i="1"/>
  <c r="AP12" i="1"/>
  <c r="L13" i="1"/>
  <c r="Z13" i="1"/>
  <c r="S14" i="1"/>
  <c r="I15" i="1"/>
  <c r="C13" i="1"/>
  <c r="E11" i="1"/>
  <c r="F14" i="1"/>
  <c r="M11" i="1"/>
  <c r="X11" i="1"/>
  <c r="AR11" i="1"/>
  <c r="N12" i="1"/>
  <c r="Y12" i="1"/>
  <c r="G13" i="1"/>
  <c r="R13" i="1"/>
  <c r="AP13" i="1"/>
  <c r="W14" i="1"/>
  <c r="M15" i="1"/>
  <c r="AR15" i="1"/>
  <c r="B12" i="1"/>
  <c r="C11" i="1"/>
  <c r="C15" i="1"/>
  <c r="D14" i="1"/>
  <c r="E13" i="1"/>
  <c r="F12" i="1"/>
  <c r="G11" i="1"/>
  <c r="K11" i="1"/>
  <c r="R11" i="1"/>
  <c r="V11" i="1"/>
  <c r="Z11" i="1"/>
  <c r="AP11" i="1"/>
  <c r="H12" i="1"/>
  <c r="L12" i="1"/>
  <c r="S12" i="1"/>
  <c r="W12" i="1"/>
  <c r="AQ12" i="1"/>
  <c r="I13" i="1"/>
  <c r="M13" i="1"/>
  <c r="T13" i="1"/>
  <c r="X13" i="1"/>
  <c r="AR13" i="1"/>
  <c r="J14" i="1"/>
  <c r="N14" i="1"/>
  <c r="U14" i="1"/>
  <c r="Y14" i="1"/>
  <c r="G15" i="1"/>
  <c r="K15" i="1"/>
  <c r="R15" i="1"/>
  <c r="V15" i="1"/>
  <c r="Z15" i="1"/>
  <c r="AP15" i="1"/>
  <c r="W13" i="1"/>
  <c r="AQ13" i="1"/>
  <c r="I14" i="1"/>
  <c r="M14" i="1"/>
  <c r="T14" i="1"/>
  <c r="X14" i="1"/>
  <c r="AR14" i="1"/>
  <c r="J15" i="1"/>
  <c r="N15" i="1"/>
  <c r="U15" i="1"/>
  <c r="Y15" i="1"/>
  <c r="B13" i="1"/>
  <c r="C12" i="1"/>
  <c r="D11" i="1"/>
  <c r="D15" i="1"/>
  <c r="E14" i="1"/>
  <c r="F13" i="1"/>
  <c r="H11" i="1"/>
  <c r="L11" i="1"/>
  <c r="S11" i="1"/>
  <c r="W11" i="1"/>
  <c r="AQ11" i="1"/>
  <c r="I12" i="1"/>
  <c r="M12" i="1"/>
  <c r="T12" i="1"/>
  <c r="X12" i="1"/>
  <c r="AR12" i="1"/>
  <c r="J13" i="1"/>
  <c r="U13" i="1"/>
  <c r="Y13" i="1"/>
  <c r="G14" i="1"/>
  <c r="K14" i="1"/>
  <c r="R14" i="1"/>
  <c r="V14" i="1"/>
  <c r="Z14" i="1"/>
  <c r="AP14" i="1"/>
  <c r="H15" i="1"/>
  <c r="L15" i="1"/>
  <c r="S15" i="1"/>
  <c r="W15" i="1"/>
  <c r="AL34" i="1"/>
  <c r="AL15" i="1" s="1"/>
  <c r="AK34" i="1"/>
  <c r="AK15" i="1" s="1"/>
  <c r="AL33" i="1"/>
  <c r="AL14" i="1" s="1"/>
  <c r="AK33" i="1"/>
  <c r="AK14" i="1" s="1"/>
  <c r="AL32" i="1"/>
  <c r="AL13" i="1" s="1"/>
  <c r="AK32" i="1"/>
  <c r="AK13" i="1" s="1"/>
  <c r="AL31" i="1"/>
  <c r="AL12" i="1" s="1"/>
  <c r="AK31" i="1"/>
  <c r="AK12" i="1" s="1"/>
  <c r="AL30" i="1"/>
  <c r="AK30" i="1"/>
  <c r="AK11" i="1" s="1"/>
  <c r="Z35" i="1"/>
  <c r="Y35" i="1"/>
  <c r="W35" i="1"/>
  <c r="V35" i="1"/>
  <c r="T35" i="1"/>
  <c r="S35" i="1"/>
  <c r="N35" i="1"/>
  <c r="M35" i="1"/>
  <c r="K35" i="1"/>
  <c r="J35" i="1"/>
  <c r="H35" i="1"/>
  <c r="G35" i="1"/>
  <c r="E35" i="1"/>
  <c r="D35" i="1"/>
  <c r="X35" i="1"/>
  <c r="U35" i="1"/>
  <c r="R35" i="1"/>
  <c r="L35" i="1"/>
  <c r="I35" i="1"/>
  <c r="F35" i="1"/>
  <c r="C35" i="1"/>
  <c r="AJ34" i="1"/>
  <c r="AJ15" i="1" s="1"/>
  <c r="AJ33" i="1"/>
  <c r="AJ14" i="1" s="1"/>
  <c r="AJ32" i="1"/>
  <c r="AJ13" i="1" s="1"/>
  <c r="AJ31" i="1"/>
  <c r="AJ12" i="1" s="1"/>
  <c r="AJ30" i="1"/>
  <c r="AJ11" i="1" s="1"/>
  <c r="D18" i="1" l="1"/>
  <c r="D19" i="1"/>
  <c r="D20" i="1"/>
  <c r="AD16" i="1"/>
  <c r="AF16" i="1"/>
  <c r="AE16" i="1"/>
  <c r="AL35" i="1"/>
  <c r="Q16" i="1"/>
  <c r="P16" i="1"/>
  <c r="O16" i="1"/>
  <c r="AO16" i="1"/>
  <c r="AN16" i="1"/>
  <c r="AM16" i="1"/>
  <c r="AC16" i="1"/>
  <c r="AQ16" i="1"/>
  <c r="AP16" i="1"/>
  <c r="AR16" i="1"/>
  <c r="AJ35" i="1"/>
  <c r="AL11" i="1"/>
  <c r="AL16" i="1" s="1"/>
  <c r="AJ16" i="1"/>
  <c r="AK16" i="1"/>
  <c r="AK35" i="1"/>
  <c r="AG16" i="1"/>
  <c r="AA16" i="1"/>
  <c r="AH16" i="1"/>
  <c r="AB16" i="1"/>
  <c r="AI16" i="1"/>
  <c r="H16" i="1"/>
  <c r="U16" i="1"/>
  <c r="S16" i="1"/>
  <c r="V16" i="1"/>
  <c r="F16" i="1"/>
  <c r="L16" i="1"/>
  <c r="T16" i="1"/>
  <c r="G16" i="1"/>
  <c r="N16" i="1"/>
  <c r="J16" i="1"/>
  <c r="D16" i="1"/>
  <c r="Z16" i="1"/>
  <c r="E16" i="1"/>
  <c r="R16" i="1"/>
  <c r="Y16" i="1"/>
  <c r="K16" i="1"/>
  <c r="C16" i="1"/>
  <c r="M16" i="1"/>
  <c r="W16" i="1"/>
  <c r="I16" i="1"/>
  <c r="X16" i="1"/>
  <c r="D21" i="1" l="1"/>
  <c r="L19" i="2"/>
  <c r="L17" i="2"/>
  <c r="L7" i="2"/>
  <c r="C17" i="2"/>
  <c r="C19" i="2"/>
  <c r="L9" i="2"/>
  <c r="C7" i="2"/>
  <c r="C9" i="2"/>
  <c r="L21" i="2" l="1"/>
  <c r="L11" i="2"/>
  <c r="C21" i="2"/>
  <c r="C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<sst xmlns="http://schemas.openxmlformats.org/spreadsheetml/2006/main" count="564" uniqueCount="76">
  <si>
    <t>Q1</t>
  </si>
  <si>
    <t>Q2 2023</t>
  </si>
  <si>
    <t>Q1 2023</t>
  </si>
  <si>
    <t>Q3 2023</t>
  </si>
  <si>
    <t>Q4 2023</t>
  </si>
  <si>
    <t>KPI 개요</t>
    <phoneticPr fontId="1" type="noConversion"/>
  </si>
  <si>
    <t>신규 고객 수 VS 목표</t>
    <phoneticPr fontId="1" type="noConversion"/>
  </si>
  <si>
    <t>고객 확보 비용</t>
  </si>
  <si>
    <t>고객 확보 비용</t>
    <phoneticPr fontId="1" type="noConversion"/>
  </si>
  <si>
    <t>목표
달성률</t>
    <phoneticPr fontId="1" type="noConversion"/>
  </si>
  <si>
    <t>실제
신규 고객 수</t>
    <phoneticPr fontId="1" type="noConversion"/>
  </si>
  <si>
    <t>목표
신규 고객 수</t>
    <phoneticPr fontId="1" type="noConversion"/>
  </si>
  <si>
    <t>실제
고객 확보 비용</t>
    <phoneticPr fontId="1" type="noConversion"/>
  </si>
  <si>
    <t>목표
고객 확보 비용</t>
    <phoneticPr fontId="1" type="noConversion"/>
  </si>
  <si>
    <t>매출액 VS 목표</t>
    <phoneticPr fontId="1" type="noConversion"/>
  </si>
  <si>
    <t>실제
매출액</t>
    <phoneticPr fontId="1" type="noConversion"/>
  </si>
  <si>
    <t>목표
매출액</t>
    <phoneticPr fontId="1" type="noConversion"/>
  </si>
  <si>
    <t>고객 별 매출액 평균</t>
    <phoneticPr fontId="1" type="noConversion"/>
  </si>
  <si>
    <t>고객 별
실제 매출액</t>
    <phoneticPr fontId="1" type="noConversion"/>
  </si>
  <si>
    <t>고객 별
목표 매출액</t>
    <phoneticPr fontId="1" type="noConversion"/>
  </si>
  <si>
    <t>매출액</t>
  </si>
  <si>
    <t>목표 매출액</t>
  </si>
  <si>
    <t>전년도
매출액</t>
  </si>
  <si>
    <t>신규 고객 수</t>
  </si>
  <si>
    <t>전년도
신규 고객 수</t>
  </si>
  <si>
    <t>전년도
신규 고객 수</t>
    <phoneticPr fontId="1" type="noConversion"/>
  </si>
  <si>
    <t>고객 당 
고객 확보 비용</t>
    <phoneticPr fontId="1" type="noConversion"/>
  </si>
  <si>
    <t>고객 당 
고객 확보 비용 
목표</t>
    <phoneticPr fontId="1" type="noConversion"/>
  </si>
  <si>
    <t>고객 확보 비용 
목표
(고객 당)</t>
  </si>
  <si>
    <t>고객 확보 비용 
목표
(고객 당)</t>
    <phoneticPr fontId="1" type="noConversion"/>
  </si>
  <si>
    <t>매출액
(고객당)</t>
  </si>
  <si>
    <t>매출액
(고객당)</t>
    <phoneticPr fontId="1" type="noConversion"/>
  </si>
  <si>
    <t>전년도 매출액
(고객당)</t>
  </si>
  <si>
    <t>전년도 매출액
(고객당)</t>
    <phoneticPr fontId="1" type="noConversion"/>
  </si>
  <si>
    <t>목표 매출액
(고객당)</t>
  </si>
  <si>
    <t>목표 매출액
(고객당)</t>
    <phoneticPr fontId="1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</si>
  <si>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</si>
  <si>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</si>
  <si>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</si>
  <si>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</si>
  <si>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</si>
  <si>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</si>
  <si>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</si>
  <si>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</si>
  <si>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</si>
  <si>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</si>
  <si>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</si>
  <si>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</si>
  <si>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연간 총 매출액</t>
    <phoneticPr fontId="1" type="noConversion"/>
  </si>
  <si>
    <t>연간 총 고객 수</t>
    <phoneticPr fontId="1" type="noConversion"/>
  </si>
  <si>
    <t>연간 신규 고객 수</t>
    <phoneticPr fontId="1" type="noConversion"/>
  </si>
  <si>
    <t>고객 당 매출액</t>
    <phoneticPr fontId="1" type="noConversion"/>
  </si>
  <si>
    <t>김기범</t>
  </si>
  <si>
    <t>안동휘</t>
  </si>
  <si>
    <t>남범수</t>
  </si>
  <si>
    <t>오지훈</t>
  </si>
  <si>
    <t>박지수</t>
  </si>
  <si>
    <t>총합</t>
  </si>
  <si>
    <t>전체 고객 수</t>
  </si>
  <si>
    <t>전체 고객 수</t>
    <phoneticPr fontId="1" type="noConversion"/>
  </si>
  <si>
    <t>목표
신규 고객 수</t>
  </si>
  <si>
    <t>이름</t>
  </si>
  <si>
    <t>월</t>
  </si>
  <si>
    <t>목표매출액</t>
  </si>
  <si>
    <t>전년도매출액</t>
  </si>
  <si>
    <t>전체고객수</t>
  </si>
  <si>
    <t>목표신규고객수</t>
  </si>
  <si>
    <t>신규고객수</t>
  </si>
  <si>
    <t>전년도신규고객수</t>
  </si>
  <si>
    <t>고객확보비용</t>
  </si>
  <si>
    <t>고객확보비용목표(고객당)</t>
  </si>
  <si>
    <t>전년도고객확보비용(고객당)</t>
  </si>
  <si>
    <t>전년도매출액(고객당)</t>
  </si>
  <si>
    <t>목표매출액(고객당)</t>
  </si>
  <si>
    <t>전년도 
고객 확보 비용 
(고객 당)</t>
  </si>
  <si>
    <t>전년도 
고객 확보 비용 
(고객 당)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</si>
</sst>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$-C09]#,##0.00"/>
    <numFmt numFmtId="177" formatCode="[$$-C09]#,##0"/>
  </numFmts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22"/>
      <color theme="1"/>
      <name val="맑은 고딕"/>
      <family val="3"/>
      <charset val="129"/>
      <scheme val="major"/>
    </font>
    <font>
      <b/>
      <sz val="8"/>
      <color theme="1" tint="0.34998626667073579"/>
      <name val="맑은 고딕"/>
      <family val="3"/>
      <charset val="129"/>
      <scheme val="major"/>
    </font>
    <font>
      <sz val="8"/>
      <color theme="1" tint="0.249977111117893"/>
      <name val="맑은 고딕"/>
      <family val="3"/>
      <charset val="129"/>
      <scheme val="major"/>
    </font>
    <font>
      <sz val="16"/>
      <color theme="1" tint="0.34998626667073579"/>
      <name val="맑은 고딕"/>
      <family val="3"/>
      <charset val="129"/>
      <scheme val="major"/>
    </font>
    <font>
      <sz val="8"/>
      <color theme="1" tint="0.34998626667073579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sz val="18"/>
      <color rgb="FF7ED2DB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DF726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ED2D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177" fontId="6" fillId="5" borderId="0" xfId="0" applyNumberFormat="1" applyFont="1" applyFill="1" applyAlignment="1">
      <alignment horizontal="right" vertical="center"/>
    </xf>
    <xf numFmtId="0" fontId="7" fillId="5" borderId="0" xfId="0" applyFont="1" applyFill="1" applyAlignment="1">
      <alignment horizontal="left" vertical="center" wrapText="1"/>
    </xf>
    <xf numFmtId="3" fontId="6" fillId="5" borderId="0" xfId="0" applyNumberFormat="1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9" fontId="6" fillId="5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/>
    </xf>
    <xf numFmtId="176" fontId="2" fillId="3" borderId="0" xfId="0" applyNumberFormat="1" applyFont="1" applyFill="1" applyAlignment="1">
      <alignment horizontal="center" vertical="center"/>
    </xf>
    <xf numFmtId="176" fontId="2" fillId="3" borderId="10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left" vertical="center"/>
    </xf>
    <xf numFmtId="176" fontId="15" fillId="4" borderId="4" xfId="0" applyNumberFormat="1" applyFont="1" applyFill="1" applyBorder="1" applyAlignment="1">
      <alignment horizontal="center" vertical="center"/>
    </xf>
    <xf numFmtId="176" fontId="15" fillId="4" borderId="9" xfId="0" applyNumberFormat="1" applyFont="1" applyFill="1" applyBorder="1" applyAlignment="1">
      <alignment horizontal="center" vertical="center"/>
    </xf>
    <xf numFmtId="3" fontId="15" fillId="4" borderId="4" xfId="0" applyNumberFormat="1" applyFont="1" applyFill="1" applyBorder="1" applyAlignment="1">
      <alignment horizontal="center" vertical="center"/>
    </xf>
    <xf numFmtId="3" fontId="15" fillId="4" borderId="9" xfId="0" applyNumberFormat="1" applyFont="1" applyFill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center" vertical="center"/>
    </xf>
    <xf numFmtId="176" fontId="15" fillId="4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vertical="center"/>
    </xf>
    <xf numFmtId="176" fontId="15" fillId="2" borderId="4" xfId="0" applyNumberFormat="1" applyFont="1" applyFill="1" applyBorder="1" applyAlignment="1">
      <alignment horizontal="center" vertical="center"/>
    </xf>
    <xf numFmtId="176" fontId="15" fillId="2" borderId="9" xfId="0" applyNumberFormat="1" applyFont="1" applyFill="1" applyBorder="1" applyAlignment="1">
      <alignment horizontal="center" vertical="center"/>
    </xf>
    <xf numFmtId="3" fontId="15" fillId="2" borderId="4" xfId="0" applyNumberFormat="1" applyFont="1" applyFill="1" applyBorder="1" applyAlignment="1">
      <alignment horizontal="center" vertical="center"/>
    </xf>
    <xf numFmtId="3" fontId="15" fillId="2" borderId="9" xfId="0" applyNumberFormat="1" applyFont="1" applyFill="1" applyBorder="1" applyAlignment="1">
      <alignment horizontal="center" vertical="center"/>
    </xf>
    <xf numFmtId="176" fontId="15" fillId="2" borderId="5" xfId="0" applyNumberFormat="1" applyFont="1" applyFill="1" applyBorder="1" applyAlignment="1">
      <alignment horizontal="center" vertical="center"/>
    </xf>
    <xf numFmtId="176" fontId="15" fillId="2" borderId="18" xfId="0" applyNumberFormat="1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F726E"/>
      <color rgb="FF32A8B4"/>
      <color rgb="FFF8F8F8"/>
      <color rgb="FFF5974D"/>
      <color rgb="FF9E5976"/>
      <color rgb="FFD2AEBD"/>
      <color rgb="FF7ED2DB"/>
      <color rgb="FFF9BC8F"/>
      <color rgb="FFEF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당해 연도</c:v>
          </c:tx>
          <c:spPr>
            <a:solidFill>
              <a:srgbClr val="EFB8B7"/>
            </a:solidFill>
            <a:ln>
              <a:noFill/>
            </a:ln>
            <a:effectLst/>
          </c:spPr>
          <c:invertIfNegative val="0"/>
          <c:cat>
            <c:strRef>
              <c:f>Calculations!$C$9:$E$9</c:f>
              <c:strCache>
                <c:ptCount val="3"/>
                <c:pt idx="0">
                  <c:v>10월</c:v>
                </c:pt>
                <c:pt idx="1">
                  <c:v>11월</c:v>
                </c:pt>
                <c:pt idx="2">
                  <c:v>12월</c:v>
                </c:pt>
              </c:strCache>
            </c:strRef>
          </c:cat>
          <c:val>
            <c:numRef>
              <c:f>Calculations!$C$16:$E$16</c:f>
              <c:numCache>
                <c:formatCode>[$$-C09]#,##0.00</c:formatCode>
                <c:ptCount val="3"/>
                <c:pt idx="0">
                  <c:v>742000</c:v>
                </c:pt>
                <c:pt idx="1">
                  <c:v>834000</c:v>
                </c:pt>
                <c:pt idx="2">
                  <c:v>704000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0-4D74-8595-F402D77B5C23}"/>
            </c:ext>
          </c:extLst>
        </c:ser>
        <c:ser>
          <c:idx val="1"/>
          <c:order val="1"/>
          <c:tx>
            <c:v>전년도</c:v>
          </c:tx>
          <c:spPr>
            <a:solidFill>
              <a:srgbClr val="DF726E"/>
            </a:solidFill>
            <a:ln>
              <a:noFill/>
            </a:ln>
            <a:effectLst/>
          </c:spPr>
          <c:invertIfNegative val="0"/>
          <c:val>
            <c:numRef>
              <c:f>Calculations!$F$16:$H$16</c:f>
              <c:numCache>
                <c:formatCode>[$$-C09]#,##0.00</c:formatCode>
                <c:ptCount val="3"/>
                <c:pt idx="0">
                  <c:v>726000</c:v>
                </c:pt>
                <c:pt idx="1">
                  <c:v>765000</c:v>
                </c:pt>
                <c:pt idx="2">
                  <c:v>803000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0-4D74-8595-F402D77B5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ko-KR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ko-KR"/>
          </a:p>
        </c:txPr>
        <c:crossAx val="1097463519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당해 연도</c:v>
          </c:tx>
          <c:spPr>
            <a:solidFill>
              <a:srgbClr val="7ED2DB"/>
            </a:solidFill>
            <a:ln>
              <a:noFill/>
            </a:ln>
            <a:effectLst/>
          </c:spPr>
          <c:invertIfNegative val="0"/>
          <c:cat>
            <c:strRef>
              <c:f>Calculations!$C$9:$E$9</c:f>
              <c:strCache>
                <c:ptCount val="3"/>
                <c:pt idx="0">
                  <c:v>10월</c:v>
                </c:pt>
                <c:pt idx="1">
                  <c:v>11월</c:v>
                </c:pt>
                <c:pt idx="2">
                  <c:v>12월</c:v>
                </c:pt>
              </c:strCache>
            </c:strRef>
          </c:cat>
          <c:val>
            <c:numRef>
              <c:f>Calculations!$R$16:$T$16</c:f>
              <c:numCache>
                <c:formatCode>#,##0</c:formatCode>
                <c:ptCount val="3"/>
                <c:pt idx="0">
                  <c:v>50</c:v>
                </c:pt>
                <c:pt idx="1">
                  <c:v>57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2-4984-A6F2-20C339407E1C}"/>
            </c:ext>
          </c:extLst>
        </c:ser>
        <c:ser>
          <c:idx val="1"/>
          <c:order val="1"/>
          <c:tx>
            <c:v>전년도</c:v>
          </c:tx>
          <c:spPr>
            <a:solidFill>
              <a:srgbClr val="32A8B4"/>
            </a:solidFill>
            <a:ln>
              <a:noFill/>
            </a:ln>
            <a:effectLst/>
          </c:spPr>
          <c:invertIfNegative val="0"/>
          <c:val>
            <c:numRef>
              <c:f>Calculations!$U$16:$W$16</c:f>
              <c:numCache>
                <c:formatCode>#,##0</c:formatCode>
                <c:ptCount val="3"/>
                <c:pt idx="0">
                  <c:v>94</c:v>
                </c:pt>
                <c:pt idx="1">
                  <c:v>110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72-4984-A6F2-20C339407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ko-KR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ko-KR"/>
          </a:p>
        </c:txPr>
        <c:crossAx val="109746351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당해 연도</c:v>
          </c:tx>
          <c:spPr>
            <a:solidFill>
              <a:srgbClr val="F9BC8F"/>
            </a:solidFill>
            <a:ln>
              <a:noFill/>
            </a:ln>
            <a:effectLst/>
          </c:spPr>
          <c:invertIfNegative val="0"/>
          <c:cat>
            <c:strRef>
              <c:f>Calculations!$C$9:$E$9</c:f>
              <c:strCache>
                <c:ptCount val="3"/>
                <c:pt idx="0">
                  <c:v>10월</c:v>
                </c:pt>
                <c:pt idx="1">
                  <c:v>11월</c:v>
                </c:pt>
                <c:pt idx="2">
                  <c:v>12월</c:v>
                </c:pt>
              </c:strCache>
            </c:strRef>
          </c:cat>
          <c:val>
            <c:numRef>
              <c:f>Calculations!$AA$16:$AC$16</c:f>
              <c:numCache>
                <c:formatCode>[$$-C09]#,##0.00</c:formatCode>
                <c:ptCount val="3"/>
                <c:pt idx="0">
                  <c:v>1055.1948051948052</c:v>
                </c:pt>
                <c:pt idx="1">
                  <c:v>894.37590187590172</c:v>
                </c:pt>
                <c:pt idx="2">
                  <c:v>1060.9166666666667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C-4B25-BDB9-A18CF72B45D3}"/>
            </c:ext>
          </c:extLst>
        </c:ser>
        <c:ser>
          <c:idx val="1"/>
          <c:order val="1"/>
          <c:tx>
            <c:v>전년도</c:v>
          </c:tx>
          <c:spPr>
            <a:solidFill>
              <a:srgbClr val="F5974D"/>
            </a:solidFill>
            <a:ln>
              <a:noFill/>
            </a:ln>
            <a:effectLst/>
          </c:spPr>
          <c:invertIfNegative val="0"/>
          <c:val>
            <c:numRef>
              <c:f>Calculations!$AG$16:$AI$16</c:f>
              <c:numCache>
                <c:formatCode>[$$-C09]#,##0.00</c:formatCode>
                <c:ptCount val="3"/>
                <c:pt idx="0">
                  <c:v>386</c:v>
                </c:pt>
                <c:pt idx="1">
                  <c:v>382.4</c:v>
                </c:pt>
                <c:pt idx="2">
                  <c:v>383.4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C-4B25-BDB9-A18CF72B4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ko-KR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ko-KR"/>
          </a:p>
        </c:txPr>
        <c:crossAx val="109746351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당해 연도</c:v>
          </c:tx>
          <c:spPr>
            <a:solidFill>
              <a:srgbClr val="D2AEBD"/>
            </a:solidFill>
            <a:ln>
              <a:noFill/>
            </a:ln>
            <a:effectLst/>
          </c:spPr>
          <c:invertIfNegative val="0"/>
          <c:cat>
            <c:strRef>
              <c:f>Calculations!$C$9:$E$9</c:f>
              <c:strCache>
                <c:ptCount val="3"/>
                <c:pt idx="0">
                  <c:v>10월</c:v>
                </c:pt>
                <c:pt idx="1">
                  <c:v>11월</c:v>
                </c:pt>
                <c:pt idx="2">
                  <c:v>12월</c:v>
                </c:pt>
              </c:strCache>
            </c:strRef>
          </c:cat>
          <c:val>
            <c:numRef>
              <c:f>Calculations!$AJ$16:$AL$16</c:f>
              <c:numCache>
                <c:formatCode>[$$-C09]#,##0.00</c:formatCode>
                <c:ptCount val="3"/>
                <c:pt idx="0">
                  <c:v>3258.258605676062</c:v>
                </c:pt>
                <c:pt idx="1">
                  <c:v>3550.3539253539261</c:v>
                </c:pt>
                <c:pt idx="2">
                  <c:v>2463.9633558929336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9-4A06-BDFE-E00F837AD2A3}"/>
            </c:ext>
          </c:extLst>
        </c:ser>
        <c:ser>
          <c:idx val="1"/>
          <c:order val="1"/>
          <c:tx>
            <c:v>전년도</c:v>
          </c:tx>
          <c:spPr>
            <a:solidFill>
              <a:srgbClr val="9E5976"/>
            </a:solidFill>
            <a:ln>
              <a:noFill/>
            </a:ln>
            <a:effectLst/>
          </c:spPr>
          <c:invertIfNegative val="0"/>
          <c:val>
            <c:numRef>
              <c:f>Calculations!$AM$16:$AO$16</c:f>
              <c:numCache>
                <c:formatCode>[$$-C09]#,##0.00</c:formatCode>
                <c:ptCount val="3"/>
                <c:pt idx="0">
                  <c:v>2320</c:v>
                </c:pt>
                <c:pt idx="1">
                  <c:v>2700</c:v>
                </c:pt>
                <c:pt idx="2">
                  <c:v>2680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9-4A06-BDFE-E00F837AD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ko-KR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ko-KR"/>
          </a:p>
        </c:txPr>
        <c:crossAx val="1097463519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52706</xdr:colOff>
      <xdr:row>5</xdr:row>
      <xdr:rowOff>37773</xdr:rowOff>
    </xdr:from>
    <xdr:to>
      <xdr:col>8</xdr:col>
      <xdr:colOff>322036</xdr:colOff>
      <xdr:row>11</xdr:row>
      <xdr:rowOff>262705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86DF58-1BA7-45A8-A8FF-255F6F3F9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111909</xdr:colOff>
      <xdr:row>4</xdr:row>
      <xdr:rowOff>22786</xdr:rowOff>
    </xdr:from>
    <xdr:to>
      <xdr:col>5</xdr:col>
      <xdr:colOff>586778</xdr:colOff>
      <xdr:row>4</xdr:row>
      <xdr:rowOff>223959</xdr:rowOff>
    </xdr:to>
    <xdr:sp macro="" textlink="Calculations!B5">
      <xdr:nvSpPr>
        <xdr:cNvPr id="7" name="TextBox 6">
          <a:extLst>
            <a:ext uri="{FF2B5EF4-FFF2-40B4-BE49-F238E27FC236}">
              <a16:creationId xmlns:a16="http://schemas.microsoft.com/office/drawing/2014/main" id="{1A729554-7109-3A19-1F52-85F1B5405B50}"/>
            </a:ext>
          </a:extLst>
        </xdr:cNvPr>
        <xdr:cNvSpPr txBox="1"/>
      </xdr:nvSpPr>
      <xdr:spPr>
        <a:xfrm>
          <a:off x="2645559" y="1222936"/>
          <a:ext cx="474869" cy="2011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0" bIns="36000" rtlCol="0" anchor="t">
          <a:noAutofit/>
        </a:bodyPr>
        <a:lstStyle/>
        <a:p>
          <a:fld id="{3B7FD0F3-707F-46B6-AF39-EA516B7666AD}" type="TxLink">
            <a:rPr lang="en-US" sz="8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/>
            <a:t>Q4 2023</a:t>
          </a:fld>
          <a:endParaRPr lang="en-GB" sz="400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702390</xdr:colOff>
      <xdr:row>4</xdr:row>
      <xdr:rowOff>15813</xdr:rowOff>
    </xdr:from>
    <xdr:to>
      <xdr:col>8</xdr:col>
      <xdr:colOff>37166</xdr:colOff>
      <xdr:row>5</xdr:row>
      <xdr:rowOff>36039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3E5C339-5C9C-418C-A58D-1CE25F2FF586}"/>
            </a:ext>
          </a:extLst>
        </xdr:cNvPr>
        <xdr:cNvSpPr txBox="1"/>
      </xdr:nvSpPr>
      <xdr:spPr>
        <a:xfrm>
          <a:off x="3236040" y="1215963"/>
          <a:ext cx="1950976" cy="2615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36000" rIns="0" bIns="36000" rtlCol="0" anchor="t">
          <a:noAutofit/>
        </a:bodyPr>
        <a:lstStyle/>
        <a:p>
          <a:pPr algn="ctr"/>
          <a:r>
            <a:rPr lang="ko-KR" altLang="en-US" sz="8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전년대비 매출액</a:t>
          </a:r>
          <a:endParaRPr lang="en-US" sz="8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</a:endParaRPr>
        </a:p>
      </xdr:txBody>
    </xdr:sp>
    <xdr:clientData/>
  </xdr:twoCellAnchor>
  <xdr:twoCellAnchor>
    <xdr:from>
      <xdr:col>13</xdr:col>
      <xdr:colOff>782242</xdr:colOff>
      <xdr:row>5</xdr:row>
      <xdr:rowOff>34527</xdr:rowOff>
    </xdr:from>
    <xdr:to>
      <xdr:col>17</xdr:col>
      <xdr:colOff>301845</xdr:colOff>
      <xdr:row>11</xdr:row>
      <xdr:rowOff>262826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491E252-C1B9-28A7-1B9B-9278139F5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834746</xdr:colOff>
      <xdr:row>4</xdr:row>
      <xdr:rowOff>15568</xdr:rowOff>
    </xdr:from>
    <xdr:to>
      <xdr:col>14</xdr:col>
      <xdr:colOff>429621</xdr:colOff>
      <xdr:row>4</xdr:row>
      <xdr:rowOff>213922</xdr:rowOff>
    </xdr:to>
    <xdr:sp macro="" textlink="Calculations!B5">
      <xdr:nvSpPr>
        <xdr:cNvPr id="26" name="TextBox 25">
          <a:extLst>
            <a:ext uri="{FF2B5EF4-FFF2-40B4-BE49-F238E27FC236}">
              <a16:creationId xmlns:a16="http://schemas.microsoft.com/office/drawing/2014/main" id="{2DBF6268-EDFB-A87A-6101-2E69702E6546}"/>
            </a:ext>
          </a:extLst>
        </xdr:cNvPr>
        <xdr:cNvSpPr txBox="1"/>
      </xdr:nvSpPr>
      <xdr:spPr>
        <a:xfrm>
          <a:off x="8188046" y="1215718"/>
          <a:ext cx="471175" cy="1983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0" bIns="36000" rtlCol="0" anchor="t">
          <a:noAutofit/>
        </a:bodyPr>
        <a:lstStyle/>
        <a:p>
          <a:fld id="{3B7FD0F3-707F-46B6-AF39-EA516B7666AD}" type="TxLink">
            <a:rPr lang="en-US" sz="8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/>
            <a:t>Q4 2023</a:t>
          </a:fld>
          <a:endParaRPr lang="en-GB" sz="400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14</xdr:col>
      <xdr:colOff>549275</xdr:colOff>
      <xdr:row>4</xdr:row>
      <xdr:rowOff>15568</xdr:rowOff>
    </xdr:from>
    <xdr:to>
      <xdr:col>17</xdr:col>
      <xdr:colOff>97975</xdr:colOff>
      <xdr:row>5</xdr:row>
      <xdr:rowOff>34986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F4BA14E-93B9-A512-A1BD-14155659AB9B}"/>
            </a:ext>
          </a:extLst>
        </xdr:cNvPr>
        <xdr:cNvSpPr txBox="1"/>
      </xdr:nvSpPr>
      <xdr:spPr>
        <a:xfrm>
          <a:off x="8778875" y="1215718"/>
          <a:ext cx="2018850" cy="260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36000" rIns="0" bIns="36000" rtlCol="0" anchor="t">
          <a:noAutofit/>
        </a:bodyPr>
        <a:lstStyle/>
        <a:p>
          <a:pPr algn="ctr"/>
          <a:r>
            <a:rPr lang="ko-KR" altLang="en-US" sz="8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전년대비 신규 고객 수</a:t>
          </a:r>
          <a:endParaRPr lang="en-US" sz="8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</a:endParaRPr>
        </a:p>
      </xdr:txBody>
    </xdr:sp>
    <xdr:clientData/>
  </xdr:twoCellAnchor>
  <xdr:twoCellAnchor>
    <xdr:from>
      <xdr:col>13</xdr:col>
      <xdr:colOff>777586</xdr:colOff>
      <xdr:row>15</xdr:row>
      <xdr:rowOff>51120</xdr:rowOff>
    </xdr:from>
    <xdr:to>
      <xdr:col>17</xdr:col>
      <xdr:colOff>301845</xdr:colOff>
      <xdr:row>21</xdr:row>
      <xdr:rowOff>281057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6F096B2-6DC6-145D-4B71-7F51E8571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836547</xdr:colOff>
      <xdr:row>14</xdr:row>
      <xdr:rowOff>35109</xdr:rowOff>
    </xdr:from>
    <xdr:to>
      <xdr:col>14</xdr:col>
      <xdr:colOff>428247</xdr:colOff>
      <xdr:row>15</xdr:row>
      <xdr:rowOff>1688</xdr:rowOff>
    </xdr:to>
    <xdr:sp macro="" textlink="Calculations!B5">
      <xdr:nvSpPr>
        <xdr:cNvPr id="31" name="TextBox 30">
          <a:extLst>
            <a:ext uri="{FF2B5EF4-FFF2-40B4-BE49-F238E27FC236}">
              <a16:creationId xmlns:a16="http://schemas.microsoft.com/office/drawing/2014/main" id="{806332EC-5F1F-E366-5040-A4775EA6E4B5}"/>
            </a:ext>
          </a:extLst>
        </xdr:cNvPr>
        <xdr:cNvSpPr txBox="1"/>
      </xdr:nvSpPr>
      <xdr:spPr>
        <a:xfrm>
          <a:off x="8189847" y="3800659"/>
          <a:ext cx="468000" cy="207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0" bIns="36000" rtlCol="0" anchor="t">
          <a:noAutofit/>
        </a:bodyPr>
        <a:lstStyle/>
        <a:p>
          <a:fld id="{3B7FD0F3-707F-46B6-AF39-EA516B7666AD}" type="TxLink">
            <a:rPr lang="en-US" sz="8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/>
            <a:t>Q4 2023</a:t>
          </a:fld>
          <a:endParaRPr lang="en-GB" sz="400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14</xdr:col>
      <xdr:colOff>584200</xdr:colOff>
      <xdr:row>14</xdr:row>
      <xdr:rowOff>35109</xdr:rowOff>
    </xdr:from>
    <xdr:to>
      <xdr:col>17</xdr:col>
      <xdr:colOff>98198</xdr:colOff>
      <xdr:row>15</xdr:row>
      <xdr:rowOff>51351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C5C19F2-F4DC-663C-D902-BF304C1815D8}"/>
            </a:ext>
          </a:extLst>
        </xdr:cNvPr>
        <xdr:cNvSpPr txBox="1"/>
      </xdr:nvSpPr>
      <xdr:spPr>
        <a:xfrm>
          <a:off x="8813800" y="3800659"/>
          <a:ext cx="1984148" cy="2575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36000" rIns="0" bIns="36000" rtlCol="0" anchor="t">
          <a:noAutofit/>
        </a:bodyPr>
        <a:lstStyle/>
        <a:p>
          <a:pPr algn="ctr"/>
          <a:r>
            <a:rPr lang="ko-KR" altLang="en-US" sz="8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전년대비 고객 확보 비용</a:t>
          </a:r>
          <a:endParaRPr lang="en-US" sz="8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</a:endParaRPr>
        </a:p>
      </xdr:txBody>
    </xdr:sp>
    <xdr:clientData/>
  </xdr:twoCellAnchor>
  <xdr:twoCellAnchor>
    <xdr:from>
      <xdr:col>5</xdr:col>
      <xdr:colOff>52706</xdr:colOff>
      <xdr:row>15</xdr:row>
      <xdr:rowOff>50077</xdr:rowOff>
    </xdr:from>
    <xdr:to>
      <xdr:col>8</xdr:col>
      <xdr:colOff>302173</xdr:colOff>
      <xdr:row>21</xdr:row>
      <xdr:rowOff>281057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7EFBCB9-F668-24AB-114A-D6C9B87E1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111573</xdr:colOff>
      <xdr:row>14</xdr:row>
      <xdr:rowOff>33922</xdr:rowOff>
    </xdr:from>
    <xdr:to>
      <xdr:col>5</xdr:col>
      <xdr:colOff>579573</xdr:colOff>
      <xdr:row>14</xdr:row>
      <xdr:rowOff>232571</xdr:rowOff>
    </xdr:to>
    <xdr:sp macro="" textlink="Calculations!B5">
      <xdr:nvSpPr>
        <xdr:cNvPr id="36" name="TextBox 35">
          <a:extLst>
            <a:ext uri="{FF2B5EF4-FFF2-40B4-BE49-F238E27FC236}">
              <a16:creationId xmlns:a16="http://schemas.microsoft.com/office/drawing/2014/main" id="{CD245E03-81F9-081F-C559-E2DD8DD2D0E7}"/>
            </a:ext>
          </a:extLst>
        </xdr:cNvPr>
        <xdr:cNvSpPr txBox="1"/>
      </xdr:nvSpPr>
      <xdr:spPr>
        <a:xfrm>
          <a:off x="2645223" y="3799472"/>
          <a:ext cx="468000" cy="1986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0" bIns="36000" rtlCol="0" anchor="t">
          <a:noAutofit/>
        </a:bodyPr>
        <a:lstStyle/>
        <a:p>
          <a:fld id="{3B7FD0F3-707F-46B6-AF39-EA516B7666AD}" type="TxLink">
            <a:rPr lang="en-US" sz="8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/>
            <a:t>Q4 2023</a:t>
          </a:fld>
          <a:endParaRPr lang="en-GB" sz="400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717550</xdr:colOff>
      <xdr:row>14</xdr:row>
      <xdr:rowOff>33922</xdr:rowOff>
    </xdr:from>
    <xdr:to>
      <xdr:col>8</xdr:col>
      <xdr:colOff>91836</xdr:colOff>
      <xdr:row>15</xdr:row>
      <xdr:rowOff>50542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9572994-8321-4FF4-E100-375B6953194E}"/>
            </a:ext>
          </a:extLst>
        </xdr:cNvPr>
        <xdr:cNvSpPr txBox="1"/>
      </xdr:nvSpPr>
      <xdr:spPr>
        <a:xfrm>
          <a:off x="3251200" y="3799472"/>
          <a:ext cx="1990486" cy="257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36000" rIns="0" bIns="36000" rtlCol="0" anchor="t">
          <a:noAutofit/>
        </a:bodyPr>
        <a:lstStyle/>
        <a:p>
          <a:pPr algn="ctr"/>
          <a:r>
            <a:rPr lang="ko-KR" altLang="en-US" sz="8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전년대비 고객 당 평균 매출액</a:t>
          </a:r>
          <a:endParaRPr lang="en-US" sz="8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</a:endParaRPr>
        </a:p>
      </xdr:txBody>
    </xdr:sp>
    <xdr:clientData/>
  </xdr:twoCellAnchor>
  <xdr:twoCellAnchor>
    <xdr:from>
      <xdr:col>2</xdr:col>
      <xdr:colOff>17930</xdr:colOff>
      <xdr:row>23</xdr:row>
      <xdr:rowOff>0</xdr:rowOff>
    </xdr:from>
    <xdr:to>
      <xdr:col>5</xdr:col>
      <xdr:colOff>124730</xdr:colOff>
      <xdr:row>23</xdr:row>
      <xdr:rowOff>211518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DEC63B0-7013-9E58-B6F3-F64A295F7CFF}"/>
            </a:ext>
          </a:extLst>
        </xdr:cNvPr>
        <xdr:cNvSpPr/>
      </xdr:nvSpPr>
      <xdr:spPr>
        <a:xfrm>
          <a:off x="322730" y="6270812"/>
          <a:ext cx="2088000" cy="216000"/>
        </a:xfrm>
        <a:prstGeom prst="rect">
          <a:avLst/>
        </a:prstGeom>
        <a:solidFill>
          <a:srgbClr val="9E597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ko-KR" altLang="en-US" sz="1100">
              <a:latin typeface="Bahnschrift" panose="020B0502040204020203" pitchFamily="34" charset="0"/>
            </a:rPr>
            <a:t>연간 총 매출액</a:t>
          </a:r>
          <a:endParaRPr lang="en-GB" sz="11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516965</xdr:colOff>
      <xdr:row>23</xdr:row>
      <xdr:rowOff>0</xdr:rowOff>
    </xdr:from>
    <xdr:to>
      <xdr:col>8</xdr:col>
      <xdr:colOff>381718</xdr:colOff>
      <xdr:row>23</xdr:row>
      <xdr:rowOff>211518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40A2CD21-DEFC-4376-96DC-266B358A3B2F}"/>
            </a:ext>
          </a:extLst>
        </xdr:cNvPr>
        <xdr:cNvSpPr/>
      </xdr:nvSpPr>
      <xdr:spPr>
        <a:xfrm>
          <a:off x="2802965" y="6270812"/>
          <a:ext cx="2088000" cy="216000"/>
        </a:xfrm>
        <a:prstGeom prst="rect">
          <a:avLst/>
        </a:prstGeom>
        <a:solidFill>
          <a:srgbClr val="32A8B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ko-KR" altLang="en-US" sz="1100">
              <a:solidFill>
                <a:schemeClr val="lt1"/>
              </a:solidFill>
              <a:latin typeface="Bahnschrift" panose="020B0502040204020203" pitchFamily="34" charset="0"/>
              <a:ea typeface="+mn-ea"/>
              <a:cs typeface="+mn-cs"/>
            </a:rPr>
            <a:t>연간 총 고객 수</a:t>
          </a:r>
          <a:endParaRPr lang="en-GB" sz="1100">
            <a:solidFill>
              <a:schemeClr val="lt1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110565</xdr:colOff>
      <xdr:row>23</xdr:row>
      <xdr:rowOff>0</xdr:rowOff>
    </xdr:from>
    <xdr:to>
      <xdr:col>14</xdr:col>
      <xdr:colOff>91859</xdr:colOff>
      <xdr:row>23</xdr:row>
      <xdr:rowOff>211518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6AF0AA0-DF44-4C4D-AE57-F9C9FE869D8E}"/>
            </a:ext>
          </a:extLst>
        </xdr:cNvPr>
        <xdr:cNvSpPr/>
      </xdr:nvSpPr>
      <xdr:spPr>
        <a:xfrm>
          <a:off x="5283200" y="6270812"/>
          <a:ext cx="2088000" cy="216000"/>
        </a:xfrm>
        <a:prstGeom prst="rect">
          <a:avLst/>
        </a:prstGeom>
        <a:solidFill>
          <a:srgbClr val="F5974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100">
              <a:latin typeface="Bahnschrift" panose="020B0502040204020203" pitchFamily="34" charset="0"/>
            </a:rPr>
            <a:t>연간 신규 고객 수</a:t>
          </a:r>
          <a:endParaRPr lang="en-GB" sz="11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14</xdr:col>
      <xdr:colOff>484094</xdr:colOff>
      <xdr:row>23</xdr:row>
      <xdr:rowOff>0</xdr:rowOff>
    </xdr:from>
    <xdr:to>
      <xdr:col>17</xdr:col>
      <xdr:colOff>348847</xdr:colOff>
      <xdr:row>23</xdr:row>
      <xdr:rowOff>211518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2167B0DA-CFBC-4043-9299-E1916C50F34C}"/>
            </a:ext>
          </a:extLst>
        </xdr:cNvPr>
        <xdr:cNvSpPr/>
      </xdr:nvSpPr>
      <xdr:spPr>
        <a:xfrm>
          <a:off x="7763435" y="6270812"/>
          <a:ext cx="2088000" cy="216000"/>
        </a:xfrm>
        <a:prstGeom prst="rect">
          <a:avLst/>
        </a:prstGeom>
        <a:solidFill>
          <a:srgbClr val="DF726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ko-KR" altLang="en-US" sz="1100">
              <a:solidFill>
                <a:schemeClr val="lt1"/>
              </a:solidFill>
              <a:latin typeface="Bahnschrift" panose="020B0502040204020203" pitchFamily="34" charset="0"/>
              <a:ea typeface="+mn-ea"/>
              <a:cs typeface="+mn-cs"/>
            </a:rPr>
            <a:t>고객당 매출액</a:t>
          </a:r>
          <a:endParaRPr lang="en-GB" sz="1100">
            <a:solidFill>
              <a:schemeClr val="lt1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17930</xdr:colOff>
      <xdr:row>24</xdr:row>
      <xdr:rowOff>13447</xdr:rowOff>
    </xdr:from>
    <xdr:to>
      <xdr:col>5</xdr:col>
      <xdr:colOff>124730</xdr:colOff>
      <xdr:row>28</xdr:row>
      <xdr:rowOff>125506</xdr:rowOff>
    </xdr:to>
    <xdr:sp macro="" textlink="Calculations!D18">
      <xdr:nvSpPr>
        <xdr:cNvPr id="52" name="Rectangle 51">
          <a:extLst>
            <a:ext uri="{FF2B5EF4-FFF2-40B4-BE49-F238E27FC236}">
              <a16:creationId xmlns:a16="http://schemas.microsoft.com/office/drawing/2014/main" id="{C4213EEF-E701-4224-A9B4-B3F8D75DF9B4}"/>
            </a:ext>
          </a:extLst>
        </xdr:cNvPr>
        <xdr:cNvSpPr/>
      </xdr:nvSpPr>
      <xdr:spPr>
        <a:xfrm>
          <a:off x="322730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769AA2D-A8F1-475B-BD8C-E25C62A6B203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 algn="ctr"/>
            <a:t>$8,779,000.00</a:t>
          </a:fld>
          <a:endParaRPr lang="en-GB" sz="2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5</xdr:col>
      <xdr:colOff>516965</xdr:colOff>
      <xdr:row>24</xdr:row>
      <xdr:rowOff>13447</xdr:rowOff>
    </xdr:from>
    <xdr:to>
      <xdr:col>8</xdr:col>
      <xdr:colOff>381718</xdr:colOff>
      <xdr:row>28</xdr:row>
      <xdr:rowOff>125506</xdr:rowOff>
    </xdr:to>
    <xdr:sp macro="" textlink="Calculations!D19">
      <xdr:nvSpPr>
        <xdr:cNvPr id="53" name="Rectangle 52">
          <a:extLst>
            <a:ext uri="{FF2B5EF4-FFF2-40B4-BE49-F238E27FC236}">
              <a16:creationId xmlns:a16="http://schemas.microsoft.com/office/drawing/2014/main" id="{47BAE3BF-92CC-43F4-AC94-F5EE2EAD94A8}"/>
            </a:ext>
          </a:extLst>
        </xdr:cNvPr>
        <xdr:cNvSpPr/>
      </xdr:nvSpPr>
      <xdr:spPr>
        <a:xfrm>
          <a:off x="2802965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F6BE113B-FF2D-4B6E-9775-980CB19300EB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3,548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110565</xdr:colOff>
      <xdr:row>24</xdr:row>
      <xdr:rowOff>13447</xdr:rowOff>
    </xdr:from>
    <xdr:to>
      <xdr:col>14</xdr:col>
      <xdr:colOff>91859</xdr:colOff>
      <xdr:row>28</xdr:row>
      <xdr:rowOff>125506</xdr:rowOff>
    </xdr:to>
    <xdr:sp macro="" textlink="Calculations!D20">
      <xdr:nvSpPr>
        <xdr:cNvPr id="54" name="Rectangle 53">
          <a:extLst>
            <a:ext uri="{FF2B5EF4-FFF2-40B4-BE49-F238E27FC236}">
              <a16:creationId xmlns:a16="http://schemas.microsoft.com/office/drawing/2014/main" id="{34CAE162-51B7-4314-8CBA-6B6F012DAB2E}"/>
            </a:ext>
          </a:extLst>
        </xdr:cNvPr>
        <xdr:cNvSpPr/>
      </xdr:nvSpPr>
      <xdr:spPr>
        <a:xfrm>
          <a:off x="5283200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9DABE70-9855-481F-9B34-B87C9ABF5879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713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510988</xdr:colOff>
      <xdr:row>24</xdr:row>
      <xdr:rowOff>4482</xdr:rowOff>
    </xdr:from>
    <xdr:to>
      <xdr:col>17</xdr:col>
      <xdr:colOff>375741</xdr:colOff>
      <xdr:row>28</xdr:row>
      <xdr:rowOff>116541</xdr:rowOff>
    </xdr:to>
    <xdr:sp macro="" textlink="Calculations!D21">
      <xdr:nvSpPr>
        <xdr:cNvPr id="55" name="Rectangle 54">
          <a:extLst>
            <a:ext uri="{FF2B5EF4-FFF2-40B4-BE49-F238E27FC236}">
              <a16:creationId xmlns:a16="http://schemas.microsoft.com/office/drawing/2014/main" id="{9FF454F6-9491-4015-9208-1327226E2545}"/>
            </a:ext>
          </a:extLst>
        </xdr:cNvPr>
        <xdr:cNvSpPr/>
      </xdr:nvSpPr>
      <xdr:spPr>
        <a:xfrm>
          <a:off x="7790329" y="6441141"/>
          <a:ext cx="2088000" cy="829235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93DEBAEB-B372-4DBF-82BC-58CA67EBC322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$2,474.35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564C70-685E-4BE5-8B8A-702B0DF510C3}" name="표2" displayName="표2" ref="A1:N61" totalsRowShown="0">
  <autoFilter ref="A1:N61" xr:uid="{C6564C70-685E-4BE5-8B8A-702B0DF510C3}"/>
  <tableColumns count="14">
    <tableColumn id="1" xr3:uid="{1A5EF08A-3835-4134-A4EE-12933E32253D}" name="이름"/>
    <tableColumn id="2" xr3:uid="{C9BC4C6E-34E2-4CFE-9DD7-54E69D6BD705}" name="월"/>
    <tableColumn id="3" xr3:uid="{5FD030AD-D078-4ED7-A062-26EC552B4727}" name="매출액"/>
    <tableColumn id="4" xr3:uid="{2CEAA614-3263-424E-9B1E-8642DAB008C3}" name="목표매출액"/>
    <tableColumn id="5" xr3:uid="{B80EF913-B33E-4D90-A068-0D8DCE54AEDB}" name="전년도매출액"/>
    <tableColumn id="6" xr3:uid="{EE2BA1DD-AD43-49DE-BC62-11E0047D7ADE}" name="전체고객수"/>
    <tableColumn id="7" xr3:uid="{BC4BFDDD-64DA-43B5-BD30-CB1F579F507D}" name="목표신규고객수"/>
    <tableColumn id="8" xr3:uid="{94D29689-9D41-4D33-AFE0-A0CE5D85B65F}" name="신규고객수"/>
    <tableColumn id="9" xr3:uid="{1C716F01-5060-447B-A3A2-78430B76AF96}" name="전년도신규고객수"/>
    <tableColumn id="10" xr3:uid="{BB6A82A8-D29E-4111-AB4A-C663C9E987F4}" name="고객확보비용"/>
    <tableColumn id="11" xr3:uid="{C08555A4-74A6-460A-9EE6-4C9400A32EB4}" name="고객확보비용목표(고객당)"/>
    <tableColumn id="12" xr3:uid="{E41BF6D1-2BE3-4DF1-AB77-1F9633A32CD0}" name="전년도고객확보비용(고객당)"/>
    <tableColumn id="13" xr3:uid="{41403D6F-F10C-4EA4-8DFB-0925AE0E4B65}" name="전년도매출액(고객당)"/>
    <tableColumn id="14" xr3:uid="{FFAC3BCF-2B75-439E-AD13-C9DBEB22392E}" name="목표매출액(고객당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6C71-7AB4-4380-8E8E-C4F9D9FC1D2B}">
  <dimension ref="A1:N61"/>
  <sheetViews>
    <sheetView workbookViewId="0">
      <selection sqref="A1:N61"/>
    </sheetView>
  </sheetViews>
  <sheetFormatPr defaultRowHeight="16.5" x14ac:dyDescent="0.3"/>
  <cols>
    <col min="1" max="1" width="7.5" bestFit="1" customWidth="1"/>
    <col min="2" max="2" width="5.625" bestFit="1" customWidth="1"/>
    <col min="3" max="3" width="9.375" bestFit="1" customWidth="1"/>
    <col min="4" max="4" width="13.25" bestFit="1" customWidth="1"/>
    <col min="5" max="5" width="15.25" bestFit="1" customWidth="1"/>
    <col min="6" max="6" width="13.25" bestFit="1" customWidth="1"/>
    <col min="7" max="7" width="17.375" bestFit="1" customWidth="1"/>
    <col min="8" max="8" width="13.25" bestFit="1" customWidth="1"/>
    <col min="9" max="9" width="19.5" bestFit="1" customWidth="1"/>
    <col min="10" max="10" width="15.25" bestFit="1" customWidth="1"/>
    <col min="11" max="11" width="27.125" bestFit="1" customWidth="1"/>
    <col min="12" max="12" width="29.125" bestFit="1" customWidth="1"/>
    <col min="13" max="13" width="22.875" bestFit="1" customWidth="1"/>
    <col min="14" max="14" width="20.875" bestFit="1" customWidth="1"/>
  </cols>
  <sheetData>
    <row r="1" spans="1:14" x14ac:dyDescent="0.3">
      <c r="A1" t="s">
        <v>61</v>
      </c>
      <c r="B1" t="s">
        <v>62</v>
      </c>
      <c r="C1" t="s">
        <v>20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 spans="1:14" x14ac:dyDescent="0.3">
      <c r="A2" t="s">
        <v>52</v>
      </c>
      <c r="B2" t="s">
        <v>36</v>
      </c>
      <c r="C2">
        <v>152000</v>
      </c>
      <c r="D2">
        <v>193000</v>
      </c>
      <c r="E2">
        <v>153000</v>
      </c>
      <c r="F2">
        <v>68</v>
      </c>
      <c r="G2">
        <v>40</v>
      </c>
      <c r="H2">
        <v>17</v>
      </c>
      <c r="I2">
        <v>14</v>
      </c>
      <c r="J2">
        <v>5300</v>
      </c>
      <c r="K2">
        <v>350</v>
      </c>
      <c r="L2">
        <v>410</v>
      </c>
      <c r="M2">
        <v>3100</v>
      </c>
      <c r="N2">
        <v>2500</v>
      </c>
    </row>
    <row r="3" spans="1:14" x14ac:dyDescent="0.3">
      <c r="A3" t="s">
        <v>52</v>
      </c>
      <c r="B3" t="s">
        <v>37</v>
      </c>
      <c r="C3">
        <v>111000</v>
      </c>
      <c r="D3">
        <v>144000</v>
      </c>
      <c r="E3">
        <v>132000</v>
      </c>
      <c r="F3">
        <v>80</v>
      </c>
      <c r="G3">
        <v>33</v>
      </c>
      <c r="H3">
        <v>16</v>
      </c>
      <c r="I3">
        <v>21</v>
      </c>
      <c r="J3">
        <v>7900</v>
      </c>
      <c r="K3">
        <v>350</v>
      </c>
      <c r="L3">
        <v>405</v>
      </c>
      <c r="M3">
        <v>2600</v>
      </c>
      <c r="N3">
        <v>2600</v>
      </c>
    </row>
    <row r="4" spans="1:14" x14ac:dyDescent="0.3">
      <c r="A4" t="s">
        <v>52</v>
      </c>
      <c r="B4" t="s">
        <v>38</v>
      </c>
      <c r="C4">
        <v>182000</v>
      </c>
      <c r="D4">
        <v>169000</v>
      </c>
      <c r="E4">
        <v>164000</v>
      </c>
      <c r="F4">
        <v>80</v>
      </c>
      <c r="G4">
        <v>37</v>
      </c>
      <c r="H4">
        <v>18</v>
      </c>
      <c r="I4">
        <v>13</v>
      </c>
      <c r="J4">
        <v>7900</v>
      </c>
      <c r="K4">
        <v>350</v>
      </c>
      <c r="L4">
        <v>398</v>
      </c>
      <c r="M4">
        <v>2400</v>
      </c>
      <c r="N4">
        <v>2400</v>
      </c>
    </row>
    <row r="5" spans="1:14" x14ac:dyDescent="0.3">
      <c r="A5" t="s">
        <v>52</v>
      </c>
      <c r="B5" t="s">
        <v>39</v>
      </c>
      <c r="C5">
        <v>104000</v>
      </c>
      <c r="D5">
        <v>126000</v>
      </c>
      <c r="E5">
        <v>115000</v>
      </c>
      <c r="F5">
        <v>68</v>
      </c>
      <c r="G5">
        <v>75</v>
      </c>
      <c r="H5">
        <v>18</v>
      </c>
      <c r="I5">
        <v>9</v>
      </c>
      <c r="J5">
        <v>9800</v>
      </c>
      <c r="K5">
        <v>400</v>
      </c>
      <c r="L5">
        <v>404</v>
      </c>
      <c r="M5">
        <v>2500</v>
      </c>
      <c r="N5">
        <v>2700</v>
      </c>
    </row>
    <row r="6" spans="1:14" x14ac:dyDescent="0.3">
      <c r="A6" t="s">
        <v>52</v>
      </c>
      <c r="B6" t="s">
        <v>40</v>
      </c>
      <c r="C6">
        <v>190000</v>
      </c>
      <c r="D6">
        <v>128000</v>
      </c>
      <c r="E6">
        <v>119000</v>
      </c>
      <c r="F6">
        <v>78</v>
      </c>
      <c r="G6">
        <v>78</v>
      </c>
      <c r="H6">
        <v>21</v>
      </c>
      <c r="I6">
        <v>23</v>
      </c>
      <c r="J6">
        <v>8700</v>
      </c>
      <c r="K6">
        <v>350</v>
      </c>
      <c r="L6">
        <v>379</v>
      </c>
      <c r="M6">
        <v>2500</v>
      </c>
      <c r="N6">
        <v>2500</v>
      </c>
    </row>
    <row r="7" spans="1:14" x14ac:dyDescent="0.3">
      <c r="A7" t="s">
        <v>52</v>
      </c>
      <c r="B7" t="s">
        <v>41</v>
      </c>
      <c r="C7">
        <v>121000</v>
      </c>
      <c r="D7">
        <v>196000</v>
      </c>
      <c r="E7">
        <v>124000</v>
      </c>
      <c r="F7">
        <v>80</v>
      </c>
      <c r="G7">
        <v>69</v>
      </c>
      <c r="H7">
        <v>14</v>
      </c>
      <c r="I7">
        <v>14</v>
      </c>
      <c r="J7">
        <v>5600</v>
      </c>
      <c r="K7">
        <v>350</v>
      </c>
      <c r="L7">
        <v>386</v>
      </c>
      <c r="M7">
        <v>2000</v>
      </c>
      <c r="N7">
        <v>2600</v>
      </c>
    </row>
    <row r="8" spans="1:14" x14ac:dyDescent="0.3">
      <c r="A8" t="s">
        <v>52</v>
      </c>
      <c r="B8" t="s">
        <v>42</v>
      </c>
      <c r="C8">
        <v>157000</v>
      </c>
      <c r="D8">
        <v>128000</v>
      </c>
      <c r="E8">
        <v>103000</v>
      </c>
      <c r="F8">
        <v>35</v>
      </c>
      <c r="G8">
        <v>39</v>
      </c>
      <c r="H8">
        <v>5</v>
      </c>
      <c r="I8">
        <v>9</v>
      </c>
      <c r="J8">
        <v>5900</v>
      </c>
      <c r="K8">
        <v>350</v>
      </c>
      <c r="L8">
        <v>353</v>
      </c>
      <c r="M8">
        <v>2200</v>
      </c>
      <c r="N8">
        <v>2200</v>
      </c>
    </row>
    <row r="9" spans="1:14" x14ac:dyDescent="0.3">
      <c r="A9" t="s">
        <v>52</v>
      </c>
      <c r="B9" t="s">
        <v>43</v>
      </c>
      <c r="C9">
        <v>118000</v>
      </c>
      <c r="D9">
        <v>162000</v>
      </c>
      <c r="E9">
        <v>151000</v>
      </c>
      <c r="F9">
        <v>55</v>
      </c>
      <c r="G9">
        <v>80</v>
      </c>
      <c r="H9">
        <v>15</v>
      </c>
      <c r="I9">
        <v>16</v>
      </c>
      <c r="J9">
        <v>6500</v>
      </c>
      <c r="K9">
        <v>450</v>
      </c>
      <c r="L9">
        <v>388</v>
      </c>
      <c r="M9">
        <v>2300</v>
      </c>
      <c r="N9">
        <v>2300</v>
      </c>
    </row>
    <row r="10" spans="1:14" x14ac:dyDescent="0.3">
      <c r="A10" t="s">
        <v>52</v>
      </c>
      <c r="B10" t="s">
        <v>44</v>
      </c>
      <c r="C10">
        <v>118000</v>
      </c>
      <c r="D10">
        <v>130000</v>
      </c>
      <c r="E10">
        <v>119000</v>
      </c>
      <c r="F10">
        <v>60</v>
      </c>
      <c r="G10">
        <v>52</v>
      </c>
      <c r="H10">
        <v>17</v>
      </c>
      <c r="I10">
        <v>19</v>
      </c>
      <c r="J10">
        <v>9600</v>
      </c>
      <c r="K10">
        <v>350</v>
      </c>
      <c r="L10">
        <v>365</v>
      </c>
      <c r="M10">
        <v>2400</v>
      </c>
      <c r="N10">
        <v>2500</v>
      </c>
    </row>
    <row r="11" spans="1:14" x14ac:dyDescent="0.3">
      <c r="A11" t="s">
        <v>52</v>
      </c>
      <c r="B11" t="s">
        <v>45</v>
      </c>
      <c r="C11">
        <v>140000</v>
      </c>
      <c r="D11">
        <v>132000</v>
      </c>
      <c r="E11">
        <v>125000</v>
      </c>
      <c r="F11">
        <v>37</v>
      </c>
      <c r="G11">
        <v>56</v>
      </c>
      <c r="H11">
        <v>10</v>
      </c>
      <c r="I11">
        <v>21</v>
      </c>
      <c r="J11">
        <v>7500</v>
      </c>
      <c r="K11">
        <v>350</v>
      </c>
      <c r="L11">
        <v>396</v>
      </c>
      <c r="M11">
        <v>2500</v>
      </c>
      <c r="N11">
        <v>2450</v>
      </c>
    </row>
    <row r="12" spans="1:14" x14ac:dyDescent="0.3">
      <c r="A12" t="s">
        <v>52</v>
      </c>
      <c r="B12" t="s">
        <v>46</v>
      </c>
      <c r="C12">
        <v>179000</v>
      </c>
      <c r="D12">
        <v>149000</v>
      </c>
      <c r="E12">
        <v>125000</v>
      </c>
      <c r="F12">
        <v>30</v>
      </c>
      <c r="G12">
        <v>81</v>
      </c>
      <c r="H12">
        <v>7</v>
      </c>
      <c r="I12">
        <v>19</v>
      </c>
      <c r="J12">
        <v>8600</v>
      </c>
      <c r="K12">
        <v>350</v>
      </c>
      <c r="L12">
        <v>386</v>
      </c>
      <c r="M12">
        <v>2600</v>
      </c>
      <c r="N12">
        <v>2700</v>
      </c>
    </row>
    <row r="13" spans="1:14" x14ac:dyDescent="0.3">
      <c r="A13" t="s">
        <v>52</v>
      </c>
      <c r="B13" t="s">
        <v>47</v>
      </c>
      <c r="C13">
        <v>158000</v>
      </c>
      <c r="D13">
        <v>152000</v>
      </c>
      <c r="E13">
        <v>182000</v>
      </c>
      <c r="F13">
        <v>75</v>
      </c>
      <c r="G13">
        <v>63</v>
      </c>
      <c r="H13">
        <v>8</v>
      </c>
      <c r="I13">
        <v>9</v>
      </c>
      <c r="J13">
        <v>9100</v>
      </c>
      <c r="K13">
        <v>300</v>
      </c>
      <c r="L13">
        <v>364</v>
      </c>
      <c r="M13">
        <v>2900</v>
      </c>
      <c r="N13">
        <v>2350</v>
      </c>
    </row>
    <row r="14" spans="1:14" x14ac:dyDescent="0.3">
      <c r="A14" t="s">
        <v>53</v>
      </c>
      <c r="B14" t="s">
        <v>36</v>
      </c>
      <c r="C14">
        <v>159000</v>
      </c>
      <c r="D14">
        <v>121000</v>
      </c>
      <c r="E14">
        <v>126000</v>
      </c>
      <c r="F14">
        <v>59</v>
      </c>
      <c r="G14">
        <v>68</v>
      </c>
      <c r="H14">
        <v>12</v>
      </c>
      <c r="I14">
        <v>17</v>
      </c>
      <c r="J14">
        <v>9600</v>
      </c>
      <c r="K14">
        <v>350</v>
      </c>
      <c r="L14">
        <v>358</v>
      </c>
      <c r="M14">
        <v>3200</v>
      </c>
      <c r="N14">
        <v>2500</v>
      </c>
    </row>
    <row r="15" spans="1:14" x14ac:dyDescent="0.3">
      <c r="A15" t="s">
        <v>53</v>
      </c>
      <c r="B15" t="s">
        <v>37</v>
      </c>
      <c r="C15">
        <v>147000</v>
      </c>
      <c r="D15">
        <v>174000</v>
      </c>
      <c r="E15">
        <v>117000</v>
      </c>
      <c r="F15">
        <v>39</v>
      </c>
      <c r="G15">
        <v>83</v>
      </c>
      <c r="H15">
        <v>10</v>
      </c>
      <c r="I15">
        <v>23</v>
      </c>
      <c r="J15">
        <v>7600</v>
      </c>
      <c r="K15">
        <v>350</v>
      </c>
      <c r="L15">
        <v>402</v>
      </c>
      <c r="M15">
        <v>2100</v>
      </c>
      <c r="N15">
        <v>2600</v>
      </c>
    </row>
    <row r="16" spans="1:14" x14ac:dyDescent="0.3">
      <c r="A16" t="s">
        <v>53</v>
      </c>
      <c r="B16" t="s">
        <v>38</v>
      </c>
      <c r="C16">
        <v>126000</v>
      </c>
      <c r="D16">
        <v>102000</v>
      </c>
      <c r="E16">
        <v>194000</v>
      </c>
      <c r="F16">
        <v>82</v>
      </c>
      <c r="G16">
        <v>39</v>
      </c>
      <c r="H16">
        <v>24</v>
      </c>
      <c r="I16">
        <v>10</v>
      </c>
      <c r="J16">
        <v>5600</v>
      </c>
      <c r="K16">
        <v>350</v>
      </c>
      <c r="L16">
        <v>409</v>
      </c>
      <c r="M16">
        <v>2500</v>
      </c>
      <c r="N16">
        <v>2400</v>
      </c>
    </row>
    <row r="17" spans="1:14" x14ac:dyDescent="0.3">
      <c r="A17" t="s">
        <v>53</v>
      </c>
      <c r="B17" t="s">
        <v>39</v>
      </c>
      <c r="C17">
        <v>166000</v>
      </c>
      <c r="D17">
        <v>131000</v>
      </c>
      <c r="E17">
        <v>178000</v>
      </c>
      <c r="F17">
        <v>45</v>
      </c>
      <c r="G17">
        <v>31</v>
      </c>
      <c r="H17">
        <v>7</v>
      </c>
      <c r="I17">
        <v>19</v>
      </c>
      <c r="J17">
        <v>5300</v>
      </c>
      <c r="K17">
        <v>400</v>
      </c>
      <c r="L17">
        <v>401</v>
      </c>
      <c r="M17">
        <v>2400</v>
      </c>
      <c r="N17">
        <v>2700</v>
      </c>
    </row>
    <row r="18" spans="1:14" x14ac:dyDescent="0.3">
      <c r="A18" t="s">
        <v>53</v>
      </c>
      <c r="B18" t="s">
        <v>40</v>
      </c>
      <c r="C18">
        <v>158000</v>
      </c>
      <c r="D18">
        <v>169000</v>
      </c>
      <c r="E18">
        <v>157000</v>
      </c>
      <c r="F18">
        <v>58</v>
      </c>
      <c r="G18">
        <v>31</v>
      </c>
      <c r="H18">
        <v>6</v>
      </c>
      <c r="I18">
        <v>11</v>
      </c>
      <c r="J18">
        <v>10700</v>
      </c>
      <c r="K18">
        <v>350</v>
      </c>
      <c r="L18">
        <v>362</v>
      </c>
      <c r="M18">
        <v>2500</v>
      </c>
      <c r="N18">
        <v>2500</v>
      </c>
    </row>
    <row r="19" spans="1:14" x14ac:dyDescent="0.3">
      <c r="A19" t="s">
        <v>53</v>
      </c>
      <c r="B19" t="s">
        <v>41</v>
      </c>
      <c r="C19">
        <v>116000</v>
      </c>
      <c r="D19">
        <v>193000</v>
      </c>
      <c r="E19">
        <v>178000</v>
      </c>
      <c r="F19">
        <v>70</v>
      </c>
      <c r="G19">
        <v>46</v>
      </c>
      <c r="H19">
        <v>9</v>
      </c>
      <c r="I19">
        <v>14</v>
      </c>
      <c r="J19">
        <v>5300</v>
      </c>
      <c r="K19">
        <v>350</v>
      </c>
      <c r="L19">
        <v>391</v>
      </c>
      <c r="M19">
        <v>3200</v>
      </c>
      <c r="N19">
        <v>2600</v>
      </c>
    </row>
    <row r="20" spans="1:14" x14ac:dyDescent="0.3">
      <c r="A20" t="s">
        <v>53</v>
      </c>
      <c r="B20" t="s">
        <v>42</v>
      </c>
      <c r="C20">
        <v>154000</v>
      </c>
      <c r="D20">
        <v>109000</v>
      </c>
      <c r="E20">
        <v>112000</v>
      </c>
      <c r="F20">
        <v>40</v>
      </c>
      <c r="G20">
        <v>65</v>
      </c>
      <c r="H20">
        <v>4</v>
      </c>
      <c r="I20">
        <v>10</v>
      </c>
      <c r="J20">
        <v>5200</v>
      </c>
      <c r="K20">
        <v>350</v>
      </c>
      <c r="L20">
        <v>383</v>
      </c>
      <c r="M20">
        <v>2400</v>
      </c>
      <c r="N20">
        <v>2200</v>
      </c>
    </row>
    <row r="21" spans="1:14" x14ac:dyDescent="0.3">
      <c r="A21" t="s">
        <v>53</v>
      </c>
      <c r="B21" t="s">
        <v>43</v>
      </c>
      <c r="C21">
        <v>153000</v>
      </c>
      <c r="D21">
        <v>159000</v>
      </c>
      <c r="E21">
        <v>145000</v>
      </c>
      <c r="F21">
        <v>62</v>
      </c>
      <c r="G21">
        <v>47</v>
      </c>
      <c r="H21">
        <v>9</v>
      </c>
      <c r="I21">
        <v>24</v>
      </c>
      <c r="J21">
        <v>5700</v>
      </c>
      <c r="K21">
        <v>450</v>
      </c>
      <c r="L21">
        <v>355</v>
      </c>
      <c r="M21">
        <v>3200</v>
      </c>
      <c r="N21">
        <v>2300</v>
      </c>
    </row>
    <row r="22" spans="1:14" x14ac:dyDescent="0.3">
      <c r="A22" t="s">
        <v>53</v>
      </c>
      <c r="B22" t="s">
        <v>44</v>
      </c>
      <c r="C22">
        <v>146000</v>
      </c>
      <c r="D22">
        <v>164000</v>
      </c>
      <c r="E22">
        <v>173000</v>
      </c>
      <c r="F22">
        <v>65</v>
      </c>
      <c r="G22">
        <v>38</v>
      </c>
      <c r="H22">
        <v>12</v>
      </c>
      <c r="I22">
        <v>12</v>
      </c>
      <c r="J22">
        <v>9100</v>
      </c>
      <c r="K22">
        <v>350</v>
      </c>
      <c r="L22">
        <v>363</v>
      </c>
      <c r="M22">
        <v>2900</v>
      </c>
      <c r="N22">
        <v>2500</v>
      </c>
    </row>
    <row r="23" spans="1:14" x14ac:dyDescent="0.3">
      <c r="A23" t="s">
        <v>53</v>
      </c>
      <c r="B23" t="s">
        <v>45</v>
      </c>
      <c r="C23">
        <v>137000</v>
      </c>
      <c r="D23">
        <v>136000</v>
      </c>
      <c r="E23">
        <v>115000</v>
      </c>
      <c r="F23">
        <v>44</v>
      </c>
      <c r="G23">
        <v>69</v>
      </c>
      <c r="H23">
        <v>4</v>
      </c>
      <c r="I23">
        <v>18</v>
      </c>
      <c r="J23">
        <v>9000</v>
      </c>
      <c r="K23">
        <v>350</v>
      </c>
      <c r="L23">
        <v>392</v>
      </c>
      <c r="M23">
        <v>2200</v>
      </c>
      <c r="N23">
        <v>2450</v>
      </c>
    </row>
    <row r="24" spans="1:14" x14ac:dyDescent="0.3">
      <c r="A24" t="s">
        <v>53</v>
      </c>
      <c r="B24" t="s">
        <v>46</v>
      </c>
      <c r="C24">
        <v>171000</v>
      </c>
      <c r="D24">
        <v>171000</v>
      </c>
      <c r="E24">
        <v>124000</v>
      </c>
      <c r="F24">
        <v>30</v>
      </c>
      <c r="G24">
        <v>55</v>
      </c>
      <c r="H24">
        <v>8</v>
      </c>
      <c r="I24">
        <v>18</v>
      </c>
      <c r="J24">
        <v>10900</v>
      </c>
      <c r="K24">
        <v>350</v>
      </c>
      <c r="L24">
        <v>373</v>
      </c>
      <c r="M24">
        <v>2100</v>
      </c>
      <c r="N24">
        <v>2700</v>
      </c>
    </row>
    <row r="25" spans="1:14" x14ac:dyDescent="0.3">
      <c r="A25" t="s">
        <v>53</v>
      </c>
      <c r="B25" t="s">
        <v>47</v>
      </c>
      <c r="C25">
        <v>103000</v>
      </c>
      <c r="D25">
        <v>158000</v>
      </c>
      <c r="E25">
        <v>159000</v>
      </c>
      <c r="F25">
        <v>71</v>
      </c>
      <c r="G25">
        <v>67</v>
      </c>
      <c r="H25">
        <v>12</v>
      </c>
      <c r="I25">
        <v>25</v>
      </c>
      <c r="J25">
        <v>7600</v>
      </c>
      <c r="K25">
        <v>300</v>
      </c>
      <c r="L25">
        <v>356</v>
      </c>
      <c r="M25">
        <v>3100</v>
      </c>
      <c r="N25">
        <v>2350</v>
      </c>
    </row>
    <row r="26" spans="1:14" x14ac:dyDescent="0.3">
      <c r="A26" t="s">
        <v>54</v>
      </c>
      <c r="B26" t="s">
        <v>36</v>
      </c>
      <c r="C26">
        <v>145000</v>
      </c>
      <c r="D26">
        <v>176000</v>
      </c>
      <c r="E26">
        <v>140000</v>
      </c>
      <c r="F26">
        <v>41</v>
      </c>
      <c r="G26">
        <v>37</v>
      </c>
      <c r="H26">
        <v>9</v>
      </c>
      <c r="I26">
        <v>22</v>
      </c>
      <c r="J26">
        <v>6800</v>
      </c>
      <c r="K26">
        <v>350</v>
      </c>
      <c r="L26">
        <v>403</v>
      </c>
      <c r="M26">
        <v>2500</v>
      </c>
      <c r="N26">
        <v>2500</v>
      </c>
    </row>
    <row r="27" spans="1:14" x14ac:dyDescent="0.3">
      <c r="A27" t="s">
        <v>54</v>
      </c>
      <c r="B27" t="s">
        <v>37</v>
      </c>
      <c r="C27">
        <v>181000</v>
      </c>
      <c r="D27">
        <v>172000</v>
      </c>
      <c r="E27">
        <v>122000</v>
      </c>
      <c r="F27">
        <v>84</v>
      </c>
      <c r="G27">
        <v>75</v>
      </c>
      <c r="H27">
        <v>24</v>
      </c>
      <c r="I27">
        <v>19</v>
      </c>
      <c r="J27">
        <v>7700</v>
      </c>
      <c r="K27">
        <v>350</v>
      </c>
      <c r="L27">
        <v>399</v>
      </c>
      <c r="M27">
        <v>2100</v>
      </c>
      <c r="N27">
        <v>2600</v>
      </c>
    </row>
    <row r="28" spans="1:14" x14ac:dyDescent="0.3">
      <c r="A28" t="s">
        <v>54</v>
      </c>
      <c r="B28" t="s">
        <v>38</v>
      </c>
      <c r="C28">
        <v>124000</v>
      </c>
      <c r="D28">
        <v>182000</v>
      </c>
      <c r="E28">
        <v>149000</v>
      </c>
      <c r="F28">
        <v>52</v>
      </c>
      <c r="G28">
        <v>79</v>
      </c>
      <c r="H28">
        <v>9</v>
      </c>
      <c r="I28">
        <v>23</v>
      </c>
      <c r="J28">
        <v>5600</v>
      </c>
      <c r="K28">
        <v>350</v>
      </c>
      <c r="L28">
        <v>404</v>
      </c>
      <c r="M28">
        <v>2000</v>
      </c>
      <c r="N28">
        <v>2400</v>
      </c>
    </row>
    <row r="29" spans="1:14" x14ac:dyDescent="0.3">
      <c r="A29" t="s">
        <v>54</v>
      </c>
      <c r="B29" t="s">
        <v>39</v>
      </c>
      <c r="C29">
        <v>141000</v>
      </c>
      <c r="D29">
        <v>123000</v>
      </c>
      <c r="E29">
        <v>150000</v>
      </c>
      <c r="F29">
        <v>74</v>
      </c>
      <c r="G29">
        <v>45</v>
      </c>
      <c r="H29">
        <v>22</v>
      </c>
      <c r="I29">
        <v>22</v>
      </c>
      <c r="J29">
        <v>10900</v>
      </c>
      <c r="K29">
        <v>400</v>
      </c>
      <c r="L29">
        <v>359</v>
      </c>
      <c r="M29">
        <v>2500</v>
      </c>
      <c r="N29">
        <v>2700</v>
      </c>
    </row>
    <row r="30" spans="1:14" x14ac:dyDescent="0.3">
      <c r="A30" t="s">
        <v>54</v>
      </c>
      <c r="B30" t="s">
        <v>40</v>
      </c>
      <c r="C30">
        <v>159000</v>
      </c>
      <c r="D30">
        <v>142000</v>
      </c>
      <c r="E30">
        <v>103000</v>
      </c>
      <c r="F30">
        <v>31</v>
      </c>
      <c r="G30">
        <v>40</v>
      </c>
      <c r="H30">
        <v>7</v>
      </c>
      <c r="I30">
        <v>9</v>
      </c>
      <c r="J30">
        <v>7000</v>
      </c>
      <c r="K30">
        <v>350</v>
      </c>
      <c r="L30">
        <v>384</v>
      </c>
      <c r="M30">
        <v>3200</v>
      </c>
      <c r="N30">
        <v>2500</v>
      </c>
    </row>
    <row r="31" spans="1:14" x14ac:dyDescent="0.3">
      <c r="A31" t="s">
        <v>54</v>
      </c>
      <c r="B31" t="s">
        <v>41</v>
      </c>
      <c r="C31">
        <v>194000</v>
      </c>
      <c r="D31">
        <v>170000</v>
      </c>
      <c r="E31">
        <v>162000</v>
      </c>
      <c r="F31">
        <v>48</v>
      </c>
      <c r="G31">
        <v>39</v>
      </c>
      <c r="H31">
        <v>12</v>
      </c>
      <c r="I31">
        <v>18</v>
      </c>
      <c r="J31">
        <v>5800</v>
      </c>
      <c r="K31">
        <v>350</v>
      </c>
      <c r="L31">
        <v>354</v>
      </c>
      <c r="M31">
        <v>3300</v>
      </c>
      <c r="N31">
        <v>2600</v>
      </c>
    </row>
    <row r="32" spans="1:14" x14ac:dyDescent="0.3">
      <c r="A32" t="s">
        <v>54</v>
      </c>
      <c r="B32" t="s">
        <v>42</v>
      </c>
      <c r="C32">
        <v>111000</v>
      </c>
      <c r="D32">
        <v>140000</v>
      </c>
      <c r="E32">
        <v>139000</v>
      </c>
      <c r="F32">
        <v>81</v>
      </c>
      <c r="G32">
        <v>50</v>
      </c>
      <c r="H32">
        <v>17</v>
      </c>
      <c r="I32">
        <v>25</v>
      </c>
      <c r="J32">
        <v>10400</v>
      </c>
      <c r="K32">
        <v>350</v>
      </c>
      <c r="L32">
        <v>395</v>
      </c>
      <c r="M32">
        <v>2400</v>
      </c>
      <c r="N32">
        <v>2200</v>
      </c>
    </row>
    <row r="33" spans="1:14" x14ac:dyDescent="0.3">
      <c r="A33" t="s">
        <v>54</v>
      </c>
      <c r="B33" t="s">
        <v>43</v>
      </c>
      <c r="C33">
        <v>148000</v>
      </c>
      <c r="D33">
        <v>159000</v>
      </c>
      <c r="E33">
        <v>195000</v>
      </c>
      <c r="F33">
        <v>63</v>
      </c>
      <c r="G33">
        <v>83</v>
      </c>
      <c r="H33">
        <v>8</v>
      </c>
      <c r="I33">
        <v>11</v>
      </c>
      <c r="J33">
        <v>8600</v>
      </c>
      <c r="K33">
        <v>450</v>
      </c>
      <c r="L33">
        <v>376</v>
      </c>
      <c r="M33">
        <v>2200</v>
      </c>
      <c r="N33">
        <v>2300</v>
      </c>
    </row>
    <row r="34" spans="1:14" x14ac:dyDescent="0.3">
      <c r="A34" t="s">
        <v>54</v>
      </c>
      <c r="B34" t="s">
        <v>44</v>
      </c>
      <c r="C34">
        <v>110000</v>
      </c>
      <c r="D34">
        <v>150000</v>
      </c>
      <c r="E34">
        <v>103000</v>
      </c>
      <c r="F34">
        <v>63</v>
      </c>
      <c r="G34">
        <v>59</v>
      </c>
      <c r="H34">
        <v>11</v>
      </c>
      <c r="I34">
        <v>9</v>
      </c>
      <c r="J34">
        <v>10500</v>
      </c>
      <c r="K34">
        <v>350</v>
      </c>
      <c r="L34">
        <v>385</v>
      </c>
      <c r="M34">
        <v>2100</v>
      </c>
      <c r="N34">
        <v>2500</v>
      </c>
    </row>
    <row r="35" spans="1:14" x14ac:dyDescent="0.3">
      <c r="A35" t="s">
        <v>54</v>
      </c>
      <c r="B35" t="s">
        <v>45</v>
      </c>
      <c r="C35">
        <v>180000</v>
      </c>
      <c r="D35">
        <v>138000</v>
      </c>
      <c r="E35">
        <v>144000</v>
      </c>
      <c r="F35">
        <v>69</v>
      </c>
      <c r="G35">
        <v>80</v>
      </c>
      <c r="H35">
        <v>11</v>
      </c>
      <c r="I35">
        <v>19</v>
      </c>
      <c r="J35">
        <v>9800</v>
      </c>
      <c r="K35">
        <v>350</v>
      </c>
      <c r="L35">
        <v>369</v>
      </c>
      <c r="M35">
        <v>2800</v>
      </c>
      <c r="N35">
        <v>2450</v>
      </c>
    </row>
    <row r="36" spans="1:14" x14ac:dyDescent="0.3">
      <c r="A36" t="s">
        <v>54</v>
      </c>
      <c r="B36" t="s">
        <v>46</v>
      </c>
      <c r="C36">
        <v>170000</v>
      </c>
      <c r="D36">
        <v>134000</v>
      </c>
      <c r="E36">
        <v>118000</v>
      </c>
      <c r="F36">
        <v>80</v>
      </c>
      <c r="G36">
        <v>40</v>
      </c>
      <c r="H36">
        <v>18</v>
      </c>
      <c r="I36">
        <v>24</v>
      </c>
      <c r="J36">
        <v>9800</v>
      </c>
      <c r="K36">
        <v>350</v>
      </c>
      <c r="L36">
        <v>391</v>
      </c>
      <c r="M36">
        <v>3000</v>
      </c>
      <c r="N36">
        <v>2700</v>
      </c>
    </row>
    <row r="37" spans="1:14" x14ac:dyDescent="0.3">
      <c r="A37" t="s">
        <v>54</v>
      </c>
      <c r="B37" t="s">
        <v>47</v>
      </c>
      <c r="C37">
        <v>138000</v>
      </c>
      <c r="D37">
        <v>124000</v>
      </c>
      <c r="E37">
        <v>105000</v>
      </c>
      <c r="F37">
        <v>48</v>
      </c>
      <c r="G37">
        <v>49</v>
      </c>
      <c r="H37">
        <v>8</v>
      </c>
      <c r="I37">
        <v>11</v>
      </c>
      <c r="J37">
        <v>8100</v>
      </c>
      <c r="K37">
        <v>300</v>
      </c>
      <c r="L37">
        <v>394</v>
      </c>
      <c r="M37">
        <v>2400</v>
      </c>
      <c r="N37">
        <v>2350</v>
      </c>
    </row>
    <row r="38" spans="1:14" x14ac:dyDescent="0.3">
      <c r="A38" t="s">
        <v>55</v>
      </c>
      <c r="B38" t="s">
        <v>36</v>
      </c>
      <c r="C38">
        <v>158000</v>
      </c>
      <c r="D38">
        <v>186000</v>
      </c>
      <c r="E38">
        <v>187000</v>
      </c>
      <c r="F38">
        <v>63</v>
      </c>
      <c r="G38">
        <v>54</v>
      </c>
      <c r="H38">
        <v>9</v>
      </c>
      <c r="I38">
        <v>12</v>
      </c>
      <c r="J38">
        <v>5800</v>
      </c>
      <c r="K38">
        <v>350</v>
      </c>
      <c r="L38">
        <v>392</v>
      </c>
      <c r="M38">
        <v>3300</v>
      </c>
      <c r="N38">
        <v>2500</v>
      </c>
    </row>
    <row r="39" spans="1:14" x14ac:dyDescent="0.3">
      <c r="A39" t="s">
        <v>55</v>
      </c>
      <c r="B39" t="s">
        <v>37</v>
      </c>
      <c r="C39">
        <v>108000</v>
      </c>
      <c r="D39">
        <v>107000</v>
      </c>
      <c r="E39">
        <v>141000</v>
      </c>
      <c r="F39">
        <v>78</v>
      </c>
      <c r="G39">
        <v>46</v>
      </c>
      <c r="H39">
        <v>8</v>
      </c>
      <c r="I39">
        <v>12</v>
      </c>
      <c r="J39">
        <v>9100</v>
      </c>
      <c r="K39">
        <v>350</v>
      </c>
      <c r="L39">
        <v>372</v>
      </c>
      <c r="M39">
        <v>2700</v>
      </c>
      <c r="N39">
        <v>2600</v>
      </c>
    </row>
    <row r="40" spans="1:14" x14ac:dyDescent="0.3">
      <c r="A40" t="s">
        <v>55</v>
      </c>
      <c r="B40" t="s">
        <v>38</v>
      </c>
      <c r="C40">
        <v>100000</v>
      </c>
      <c r="D40">
        <v>129000</v>
      </c>
      <c r="E40">
        <v>115000</v>
      </c>
      <c r="F40">
        <v>58</v>
      </c>
      <c r="G40">
        <v>47</v>
      </c>
      <c r="H40">
        <v>12</v>
      </c>
      <c r="I40">
        <v>13</v>
      </c>
      <c r="J40">
        <v>7300</v>
      </c>
      <c r="K40">
        <v>350</v>
      </c>
      <c r="L40">
        <v>375</v>
      </c>
      <c r="M40">
        <v>2200</v>
      </c>
      <c r="N40">
        <v>2400</v>
      </c>
    </row>
    <row r="41" spans="1:14" x14ac:dyDescent="0.3">
      <c r="A41" t="s">
        <v>55</v>
      </c>
      <c r="B41" t="s">
        <v>39</v>
      </c>
      <c r="C41">
        <v>109000</v>
      </c>
      <c r="D41">
        <v>106000</v>
      </c>
      <c r="E41">
        <v>126000</v>
      </c>
      <c r="F41">
        <v>33</v>
      </c>
      <c r="G41">
        <v>85</v>
      </c>
      <c r="H41">
        <v>6</v>
      </c>
      <c r="I41">
        <v>25</v>
      </c>
      <c r="J41">
        <v>8300</v>
      </c>
      <c r="K41">
        <v>400</v>
      </c>
      <c r="L41">
        <v>359</v>
      </c>
      <c r="M41">
        <v>2200</v>
      </c>
      <c r="N41">
        <v>2700</v>
      </c>
    </row>
    <row r="42" spans="1:14" x14ac:dyDescent="0.3">
      <c r="A42" t="s">
        <v>55</v>
      </c>
      <c r="B42" t="s">
        <v>40</v>
      </c>
      <c r="C42">
        <v>161000</v>
      </c>
      <c r="D42">
        <v>126000</v>
      </c>
      <c r="E42">
        <v>150000</v>
      </c>
      <c r="F42">
        <v>33</v>
      </c>
      <c r="G42">
        <v>59</v>
      </c>
      <c r="H42">
        <v>5</v>
      </c>
      <c r="I42">
        <v>17</v>
      </c>
      <c r="J42">
        <v>6700</v>
      </c>
      <c r="K42">
        <v>350</v>
      </c>
      <c r="L42">
        <v>387</v>
      </c>
      <c r="M42">
        <v>2100</v>
      </c>
      <c r="N42">
        <v>2500</v>
      </c>
    </row>
    <row r="43" spans="1:14" x14ac:dyDescent="0.3">
      <c r="A43" t="s">
        <v>55</v>
      </c>
      <c r="B43" t="s">
        <v>41</v>
      </c>
      <c r="C43">
        <v>114000</v>
      </c>
      <c r="D43">
        <v>127000</v>
      </c>
      <c r="E43">
        <v>186000</v>
      </c>
      <c r="F43">
        <v>68</v>
      </c>
      <c r="G43">
        <v>57</v>
      </c>
      <c r="H43">
        <v>20</v>
      </c>
      <c r="I43">
        <v>10</v>
      </c>
      <c r="J43">
        <v>5700</v>
      </c>
      <c r="K43">
        <v>350</v>
      </c>
      <c r="L43">
        <v>355</v>
      </c>
      <c r="M43">
        <v>3200</v>
      </c>
      <c r="N43">
        <v>2600</v>
      </c>
    </row>
    <row r="44" spans="1:14" x14ac:dyDescent="0.3">
      <c r="A44" t="s">
        <v>55</v>
      </c>
      <c r="B44" t="s">
        <v>42</v>
      </c>
      <c r="C44">
        <v>104000</v>
      </c>
      <c r="D44">
        <v>128000</v>
      </c>
      <c r="E44">
        <v>127000</v>
      </c>
      <c r="F44">
        <v>37</v>
      </c>
      <c r="G44">
        <v>61</v>
      </c>
      <c r="H44">
        <v>10</v>
      </c>
      <c r="I44">
        <v>24</v>
      </c>
      <c r="J44">
        <v>7400</v>
      </c>
      <c r="K44">
        <v>350</v>
      </c>
      <c r="L44">
        <v>398</v>
      </c>
      <c r="M44">
        <v>2600</v>
      </c>
      <c r="N44">
        <v>2200</v>
      </c>
    </row>
    <row r="45" spans="1:14" x14ac:dyDescent="0.3">
      <c r="A45" t="s">
        <v>55</v>
      </c>
      <c r="B45" t="s">
        <v>43</v>
      </c>
      <c r="C45">
        <v>121000</v>
      </c>
      <c r="D45">
        <v>104000</v>
      </c>
      <c r="E45">
        <v>152000</v>
      </c>
      <c r="F45">
        <v>62</v>
      </c>
      <c r="G45">
        <v>61</v>
      </c>
      <c r="H45">
        <v>15</v>
      </c>
      <c r="I45">
        <v>11</v>
      </c>
      <c r="J45">
        <v>10800</v>
      </c>
      <c r="K45">
        <v>450</v>
      </c>
      <c r="L45">
        <v>358</v>
      </c>
      <c r="M45">
        <v>2200</v>
      </c>
      <c r="N45">
        <v>2300</v>
      </c>
    </row>
    <row r="46" spans="1:14" x14ac:dyDescent="0.3">
      <c r="A46" t="s">
        <v>55</v>
      </c>
      <c r="B46" t="s">
        <v>44</v>
      </c>
      <c r="C46">
        <v>196000</v>
      </c>
      <c r="D46">
        <v>155000</v>
      </c>
      <c r="E46">
        <v>102000</v>
      </c>
      <c r="F46">
        <v>47</v>
      </c>
      <c r="G46">
        <v>48</v>
      </c>
      <c r="H46">
        <v>12</v>
      </c>
      <c r="I46">
        <v>18</v>
      </c>
      <c r="J46">
        <v>7200</v>
      </c>
      <c r="K46">
        <v>350</v>
      </c>
      <c r="L46">
        <v>383</v>
      </c>
      <c r="M46">
        <v>2300</v>
      </c>
      <c r="N46">
        <v>2500</v>
      </c>
    </row>
    <row r="47" spans="1:14" x14ac:dyDescent="0.3">
      <c r="A47" t="s">
        <v>55</v>
      </c>
      <c r="B47" t="s">
        <v>45</v>
      </c>
      <c r="C47">
        <v>164000</v>
      </c>
      <c r="D47">
        <v>175000</v>
      </c>
      <c r="E47">
        <v>169000</v>
      </c>
      <c r="F47">
        <v>38</v>
      </c>
      <c r="G47">
        <v>63</v>
      </c>
      <c r="H47">
        <v>11</v>
      </c>
      <c r="I47">
        <v>20</v>
      </c>
      <c r="J47">
        <v>8400</v>
      </c>
      <c r="K47">
        <v>350</v>
      </c>
      <c r="L47">
        <v>377</v>
      </c>
      <c r="M47">
        <v>2000</v>
      </c>
      <c r="N47">
        <v>2450</v>
      </c>
    </row>
    <row r="48" spans="1:14" x14ac:dyDescent="0.3">
      <c r="A48" t="s">
        <v>55</v>
      </c>
      <c r="B48" t="s">
        <v>46</v>
      </c>
      <c r="C48">
        <v>138000</v>
      </c>
      <c r="D48">
        <v>186000</v>
      </c>
      <c r="E48">
        <v>128000</v>
      </c>
      <c r="F48">
        <v>74</v>
      </c>
      <c r="G48">
        <v>35</v>
      </c>
      <c r="H48">
        <v>13</v>
      </c>
      <c r="I48">
        <v>25</v>
      </c>
      <c r="J48">
        <v>10400</v>
      </c>
      <c r="K48">
        <v>350</v>
      </c>
      <c r="L48">
        <v>369</v>
      </c>
      <c r="M48">
        <v>2800</v>
      </c>
      <c r="N48">
        <v>2700</v>
      </c>
    </row>
    <row r="49" spans="1:14" x14ac:dyDescent="0.3">
      <c r="A49" t="s">
        <v>55</v>
      </c>
      <c r="B49" t="s">
        <v>47</v>
      </c>
      <c r="C49">
        <v>178000</v>
      </c>
      <c r="D49">
        <v>179000</v>
      </c>
      <c r="E49">
        <v>184000</v>
      </c>
      <c r="F49">
        <v>42</v>
      </c>
      <c r="G49">
        <v>59</v>
      </c>
      <c r="H49">
        <v>5</v>
      </c>
      <c r="I49">
        <v>15</v>
      </c>
      <c r="J49">
        <v>10200</v>
      </c>
      <c r="K49">
        <v>300</v>
      </c>
      <c r="L49">
        <v>397</v>
      </c>
      <c r="M49">
        <v>2600</v>
      </c>
      <c r="N49">
        <v>2350</v>
      </c>
    </row>
    <row r="50" spans="1:14" x14ac:dyDescent="0.3">
      <c r="A50" t="s">
        <v>56</v>
      </c>
      <c r="B50" t="s">
        <v>36</v>
      </c>
      <c r="C50">
        <v>163000</v>
      </c>
      <c r="D50">
        <v>171000</v>
      </c>
      <c r="E50">
        <v>166000</v>
      </c>
      <c r="F50">
        <v>66</v>
      </c>
      <c r="G50">
        <v>82</v>
      </c>
      <c r="H50">
        <v>19</v>
      </c>
      <c r="I50">
        <v>24</v>
      </c>
      <c r="J50">
        <v>5200</v>
      </c>
      <c r="K50">
        <v>350</v>
      </c>
      <c r="L50">
        <v>370</v>
      </c>
      <c r="M50">
        <v>2300</v>
      </c>
      <c r="N50">
        <v>2500</v>
      </c>
    </row>
    <row r="51" spans="1:14" x14ac:dyDescent="0.3">
      <c r="A51" t="s">
        <v>56</v>
      </c>
      <c r="B51" t="s">
        <v>37</v>
      </c>
      <c r="C51">
        <v>182000</v>
      </c>
      <c r="D51">
        <v>108000</v>
      </c>
      <c r="E51">
        <v>153000</v>
      </c>
      <c r="F51">
        <v>75</v>
      </c>
      <c r="G51">
        <v>82</v>
      </c>
      <c r="H51">
        <v>17</v>
      </c>
      <c r="I51">
        <v>11</v>
      </c>
      <c r="J51">
        <v>8900</v>
      </c>
      <c r="K51">
        <v>350</v>
      </c>
      <c r="L51">
        <v>375</v>
      </c>
      <c r="M51">
        <v>3100</v>
      </c>
      <c r="N51">
        <v>2600</v>
      </c>
    </row>
    <row r="52" spans="1:14" x14ac:dyDescent="0.3">
      <c r="A52" t="s">
        <v>56</v>
      </c>
      <c r="B52" t="s">
        <v>38</v>
      </c>
      <c r="C52">
        <v>135000</v>
      </c>
      <c r="D52">
        <v>184000</v>
      </c>
      <c r="E52">
        <v>137000</v>
      </c>
      <c r="F52">
        <v>53</v>
      </c>
      <c r="G52">
        <v>58</v>
      </c>
      <c r="H52">
        <v>5</v>
      </c>
      <c r="I52">
        <v>24</v>
      </c>
      <c r="J52">
        <v>6800</v>
      </c>
      <c r="K52">
        <v>350</v>
      </c>
      <c r="L52">
        <v>353</v>
      </c>
      <c r="M52">
        <v>3100</v>
      </c>
      <c r="N52">
        <v>2400</v>
      </c>
    </row>
    <row r="53" spans="1:14" x14ac:dyDescent="0.3">
      <c r="A53" t="s">
        <v>56</v>
      </c>
      <c r="B53" t="s">
        <v>39</v>
      </c>
      <c r="C53">
        <v>164000</v>
      </c>
      <c r="D53">
        <v>194000</v>
      </c>
      <c r="E53">
        <v>165000</v>
      </c>
      <c r="F53">
        <v>76</v>
      </c>
      <c r="G53">
        <v>73</v>
      </c>
      <c r="H53">
        <v>11</v>
      </c>
      <c r="I53">
        <v>9</v>
      </c>
      <c r="J53">
        <v>10600</v>
      </c>
      <c r="K53">
        <v>400</v>
      </c>
      <c r="L53">
        <v>354</v>
      </c>
      <c r="M53">
        <v>2400</v>
      </c>
      <c r="N53">
        <v>2700</v>
      </c>
    </row>
    <row r="54" spans="1:14" x14ac:dyDescent="0.3">
      <c r="A54" t="s">
        <v>56</v>
      </c>
      <c r="B54" t="s">
        <v>40</v>
      </c>
      <c r="C54">
        <v>131000</v>
      </c>
      <c r="D54">
        <v>104000</v>
      </c>
      <c r="E54">
        <v>176000</v>
      </c>
      <c r="F54">
        <v>66</v>
      </c>
      <c r="G54">
        <v>65</v>
      </c>
      <c r="H54">
        <v>19</v>
      </c>
      <c r="I54">
        <v>11</v>
      </c>
      <c r="J54">
        <v>7100</v>
      </c>
      <c r="K54">
        <v>350</v>
      </c>
      <c r="L54">
        <v>369</v>
      </c>
      <c r="M54">
        <v>2900</v>
      </c>
      <c r="N54">
        <v>2500</v>
      </c>
    </row>
    <row r="55" spans="1:14" x14ac:dyDescent="0.3">
      <c r="A55" t="s">
        <v>56</v>
      </c>
      <c r="B55" t="s">
        <v>41</v>
      </c>
      <c r="C55">
        <v>169000</v>
      </c>
      <c r="D55">
        <v>118000</v>
      </c>
      <c r="E55">
        <v>182000</v>
      </c>
      <c r="F55">
        <v>68</v>
      </c>
      <c r="G55">
        <v>65</v>
      </c>
      <c r="H55">
        <v>10</v>
      </c>
      <c r="I55">
        <v>18</v>
      </c>
      <c r="J55">
        <v>8100</v>
      </c>
      <c r="K55">
        <v>350</v>
      </c>
      <c r="L55">
        <v>402</v>
      </c>
      <c r="M55">
        <v>2900</v>
      </c>
      <c r="N55">
        <v>2600</v>
      </c>
    </row>
    <row r="56" spans="1:14" x14ac:dyDescent="0.3">
      <c r="A56" t="s">
        <v>56</v>
      </c>
      <c r="B56" t="s">
        <v>42</v>
      </c>
      <c r="C56">
        <v>183000</v>
      </c>
      <c r="D56">
        <v>163000</v>
      </c>
      <c r="E56">
        <v>109000</v>
      </c>
      <c r="F56">
        <v>44</v>
      </c>
      <c r="G56">
        <v>67</v>
      </c>
      <c r="H56">
        <v>7</v>
      </c>
      <c r="I56">
        <v>24</v>
      </c>
      <c r="J56">
        <v>6600</v>
      </c>
      <c r="K56">
        <v>350</v>
      </c>
      <c r="L56">
        <v>370</v>
      </c>
      <c r="M56">
        <v>2300</v>
      </c>
      <c r="N56">
        <v>2200</v>
      </c>
    </row>
    <row r="57" spans="1:14" x14ac:dyDescent="0.3">
      <c r="A57" t="s">
        <v>56</v>
      </c>
      <c r="B57" t="s">
        <v>43</v>
      </c>
      <c r="C57">
        <v>124000</v>
      </c>
      <c r="D57">
        <v>188000</v>
      </c>
      <c r="E57">
        <v>109000</v>
      </c>
      <c r="F57">
        <v>62</v>
      </c>
      <c r="G57">
        <v>70</v>
      </c>
      <c r="H57">
        <v>6</v>
      </c>
      <c r="I57">
        <v>15</v>
      </c>
      <c r="J57">
        <v>5600</v>
      </c>
      <c r="K57">
        <v>450</v>
      </c>
      <c r="L57">
        <v>358</v>
      </c>
      <c r="M57">
        <v>2700</v>
      </c>
      <c r="N57">
        <v>2300</v>
      </c>
    </row>
    <row r="58" spans="1:14" x14ac:dyDescent="0.3">
      <c r="A58" t="s">
        <v>56</v>
      </c>
      <c r="B58" t="s">
        <v>44</v>
      </c>
      <c r="C58">
        <v>186000</v>
      </c>
      <c r="D58">
        <v>143000</v>
      </c>
      <c r="E58">
        <v>161000</v>
      </c>
      <c r="F58">
        <v>50</v>
      </c>
      <c r="G58">
        <v>38</v>
      </c>
      <c r="H58">
        <v>13</v>
      </c>
      <c r="I58">
        <v>13</v>
      </c>
      <c r="J58">
        <v>8200</v>
      </c>
      <c r="K58">
        <v>350</v>
      </c>
      <c r="L58">
        <v>408</v>
      </c>
      <c r="M58">
        <v>2100</v>
      </c>
      <c r="N58">
        <v>2500</v>
      </c>
    </row>
    <row r="59" spans="1:14" x14ac:dyDescent="0.3">
      <c r="A59" t="s">
        <v>56</v>
      </c>
      <c r="B59" t="s">
        <v>45</v>
      </c>
      <c r="C59">
        <v>121000</v>
      </c>
      <c r="D59">
        <v>145000</v>
      </c>
      <c r="E59">
        <v>169000</v>
      </c>
      <c r="F59">
        <v>49</v>
      </c>
      <c r="G59">
        <v>47</v>
      </c>
      <c r="H59">
        <v>14</v>
      </c>
      <c r="I59">
        <v>16</v>
      </c>
      <c r="J59">
        <v>8700</v>
      </c>
      <c r="K59">
        <v>350</v>
      </c>
      <c r="L59">
        <v>396</v>
      </c>
      <c r="M59">
        <v>2100</v>
      </c>
      <c r="N59">
        <v>2450</v>
      </c>
    </row>
    <row r="60" spans="1:14" x14ac:dyDescent="0.3">
      <c r="A60" t="s">
        <v>56</v>
      </c>
      <c r="B60" t="s">
        <v>46</v>
      </c>
      <c r="C60">
        <v>176000</v>
      </c>
      <c r="D60">
        <v>125000</v>
      </c>
      <c r="E60">
        <v>175000</v>
      </c>
      <c r="F60">
        <v>84</v>
      </c>
      <c r="G60">
        <v>57</v>
      </c>
      <c r="H60">
        <v>11</v>
      </c>
      <c r="I60">
        <v>24</v>
      </c>
      <c r="J60">
        <v>5900</v>
      </c>
      <c r="K60">
        <v>350</v>
      </c>
      <c r="L60">
        <v>393</v>
      </c>
      <c r="M60">
        <v>3000</v>
      </c>
      <c r="N60">
        <v>2700</v>
      </c>
    </row>
    <row r="61" spans="1:14" x14ac:dyDescent="0.3">
      <c r="A61" t="s">
        <v>56</v>
      </c>
      <c r="B61" t="s">
        <v>47</v>
      </c>
      <c r="C61">
        <v>127000</v>
      </c>
      <c r="D61">
        <v>190000</v>
      </c>
      <c r="E61">
        <v>141000</v>
      </c>
      <c r="F61">
        <v>77</v>
      </c>
      <c r="G61">
        <v>36</v>
      </c>
      <c r="H61">
        <v>16</v>
      </c>
      <c r="I61">
        <v>13</v>
      </c>
      <c r="J61">
        <v>7700</v>
      </c>
      <c r="K61">
        <v>300</v>
      </c>
      <c r="L61">
        <v>406</v>
      </c>
      <c r="M61">
        <v>2400</v>
      </c>
      <c r="N61">
        <v>2350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1D51-E619-4024-A2C2-7886E709A47C}">
  <dimension ref="B1:AR68"/>
  <sheetViews>
    <sheetView zoomScale="85" zoomScaleNormal="85" workbookViewId="0">
      <selection activeCell="F22" sqref="F22:G22"/>
    </sheetView>
  </sheetViews>
  <sheetFormatPr defaultColWidth="8.875" defaultRowHeight="16.5" x14ac:dyDescent="0.3"/>
  <cols>
    <col min="1" max="1" width="8.875" style="2"/>
    <col min="2" max="2" width="15.625" style="2" customWidth="1"/>
    <col min="3" max="60" width="15.75" style="2" customWidth="1"/>
    <col min="61" max="16384" width="8.875" style="2"/>
  </cols>
  <sheetData>
    <row r="1" spans="2:44" x14ac:dyDescent="0.3">
      <c r="G1" s="13"/>
      <c r="H1" s="14" t="s">
        <v>2</v>
      </c>
    </row>
    <row r="2" spans="2:44" x14ac:dyDescent="0.3">
      <c r="H2" s="14" t="s">
        <v>1</v>
      </c>
    </row>
    <row r="3" spans="2:44" x14ac:dyDescent="0.3">
      <c r="H3" s="14" t="s">
        <v>3</v>
      </c>
    </row>
    <row r="4" spans="2:44" x14ac:dyDescent="0.3">
      <c r="H4" s="14" t="s">
        <v>4</v>
      </c>
    </row>
    <row r="5" spans="2:44" s="18" customFormat="1" ht="28.15" customHeight="1" x14ac:dyDescent="0.3">
      <c r="B5" s="17" t="str">
        <f>DASHBOARD!F2</f>
        <v>Q4 2023</v>
      </c>
      <c r="C5" s="15"/>
      <c r="D5" s="16"/>
    </row>
    <row r="6" spans="2:44" ht="17.25" thickBot="1" x14ac:dyDescent="0.35"/>
    <row r="7" spans="2:44" ht="6.6" customHeight="1" x14ac:dyDescent="0.3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1"/>
    </row>
    <row r="8" spans="2:44" ht="26.25" x14ac:dyDescent="0.3">
      <c r="B8" s="22"/>
      <c r="C8" s="76" t="s">
        <v>0</v>
      </c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8"/>
    </row>
    <row r="9" spans="2:44" ht="15.6" customHeight="1" x14ac:dyDescent="0.3">
      <c r="B9" s="23"/>
      <c r="C9" s="24" t="str">
        <f t="shared" ref="C9:AR9" si="0">_xlfn.SWITCH($B$5, $H$1, C28, $H$2, C39, $H$3, C50, $H$4, C61)</f>
        <v>10월</v>
      </c>
      <c r="D9" s="24" t="str">
        <f t="shared" si="0"/>
        <v>11월</v>
      </c>
      <c r="E9" s="25" t="str">
        <f t="shared" si="0"/>
        <v>12월</v>
      </c>
      <c r="F9" s="24" t="str">
        <f t="shared" si="0"/>
        <v>10월</v>
      </c>
      <c r="G9" s="24" t="str">
        <f t="shared" si="0"/>
        <v>11월</v>
      </c>
      <c r="H9" s="24" t="str">
        <f t="shared" si="0"/>
        <v>12월</v>
      </c>
      <c r="I9" s="26" t="str">
        <f t="shared" si="0"/>
        <v>10월</v>
      </c>
      <c r="J9" s="24" t="str">
        <f t="shared" si="0"/>
        <v>11월</v>
      </c>
      <c r="K9" s="24" t="str">
        <f t="shared" si="0"/>
        <v>12월</v>
      </c>
      <c r="L9" s="26" t="str">
        <f t="shared" si="0"/>
        <v>10월</v>
      </c>
      <c r="M9" s="24" t="str">
        <f t="shared" si="0"/>
        <v>11월</v>
      </c>
      <c r="N9" s="24" t="str">
        <f t="shared" si="0"/>
        <v>12월</v>
      </c>
      <c r="O9" s="26" t="str">
        <f t="shared" si="0"/>
        <v>10월</v>
      </c>
      <c r="P9" s="24" t="str">
        <f t="shared" si="0"/>
        <v>11월</v>
      </c>
      <c r="Q9" s="24" t="str">
        <f t="shared" si="0"/>
        <v>12월</v>
      </c>
      <c r="R9" s="26" t="str">
        <f t="shared" si="0"/>
        <v>10월</v>
      </c>
      <c r="S9" s="24" t="str">
        <f t="shared" si="0"/>
        <v>11월</v>
      </c>
      <c r="T9" s="24" t="str">
        <f t="shared" si="0"/>
        <v>12월</v>
      </c>
      <c r="U9" s="26" t="str">
        <f t="shared" si="0"/>
        <v>10월</v>
      </c>
      <c r="V9" s="24" t="str">
        <f t="shared" si="0"/>
        <v>11월</v>
      </c>
      <c r="W9" s="24" t="str">
        <f t="shared" si="0"/>
        <v>12월</v>
      </c>
      <c r="X9" s="26" t="str">
        <f t="shared" si="0"/>
        <v>10월</v>
      </c>
      <c r="Y9" s="24" t="str">
        <f t="shared" si="0"/>
        <v>11월</v>
      </c>
      <c r="Z9" s="24" t="str">
        <f t="shared" si="0"/>
        <v>12월</v>
      </c>
      <c r="AA9" s="26" t="str">
        <f t="shared" si="0"/>
        <v>10월</v>
      </c>
      <c r="AB9" s="24" t="str">
        <f t="shared" si="0"/>
        <v>11월</v>
      </c>
      <c r="AC9" s="24" t="str">
        <f t="shared" si="0"/>
        <v>12월</v>
      </c>
      <c r="AD9" s="26" t="str">
        <f t="shared" si="0"/>
        <v>10월</v>
      </c>
      <c r="AE9" s="24" t="str">
        <f t="shared" si="0"/>
        <v>11월</v>
      </c>
      <c r="AF9" s="24" t="str">
        <f t="shared" si="0"/>
        <v>12월</v>
      </c>
      <c r="AG9" s="26" t="str">
        <f t="shared" si="0"/>
        <v>10월</v>
      </c>
      <c r="AH9" s="24" t="str">
        <f t="shared" si="0"/>
        <v>11월</v>
      </c>
      <c r="AI9" s="25" t="str">
        <f t="shared" si="0"/>
        <v>12월</v>
      </c>
      <c r="AJ9" s="24" t="str">
        <f t="shared" si="0"/>
        <v>10월</v>
      </c>
      <c r="AK9" s="24" t="str">
        <f t="shared" si="0"/>
        <v>11월</v>
      </c>
      <c r="AL9" s="25" t="str">
        <f t="shared" si="0"/>
        <v>12월</v>
      </c>
      <c r="AM9" s="24" t="str">
        <f t="shared" si="0"/>
        <v>10월</v>
      </c>
      <c r="AN9" s="24" t="str">
        <f t="shared" si="0"/>
        <v>11월</v>
      </c>
      <c r="AO9" s="25" t="str">
        <f t="shared" si="0"/>
        <v>12월</v>
      </c>
      <c r="AP9" s="24" t="str">
        <f t="shared" si="0"/>
        <v>10월</v>
      </c>
      <c r="AQ9" s="24" t="str">
        <f t="shared" si="0"/>
        <v>11월</v>
      </c>
      <c r="AR9" s="27" t="str">
        <f t="shared" si="0"/>
        <v>12월</v>
      </c>
    </row>
    <row r="10" spans="2:44" ht="51" customHeight="1" x14ac:dyDescent="0.3">
      <c r="B10" s="22"/>
      <c r="C10" s="14" t="s">
        <v>20</v>
      </c>
      <c r="D10" s="14" t="s">
        <v>20</v>
      </c>
      <c r="E10" s="28" t="s">
        <v>20</v>
      </c>
      <c r="F10" s="14" t="s">
        <v>21</v>
      </c>
      <c r="G10" s="14" t="s">
        <v>21</v>
      </c>
      <c r="H10" s="28" t="s">
        <v>21</v>
      </c>
      <c r="I10" s="29" t="s">
        <v>22</v>
      </c>
      <c r="J10" s="29" t="s">
        <v>22</v>
      </c>
      <c r="K10" s="30" t="s">
        <v>22</v>
      </c>
      <c r="L10" s="29" t="s">
        <v>59</v>
      </c>
      <c r="M10" s="29" t="s">
        <v>58</v>
      </c>
      <c r="N10" s="30" t="s">
        <v>58</v>
      </c>
      <c r="O10" s="29" t="s">
        <v>11</v>
      </c>
      <c r="P10" s="29" t="s">
        <v>60</v>
      </c>
      <c r="Q10" s="30" t="s">
        <v>60</v>
      </c>
      <c r="R10" s="29" t="s">
        <v>23</v>
      </c>
      <c r="S10" s="29" t="s">
        <v>23</v>
      </c>
      <c r="T10" s="30" t="s">
        <v>23</v>
      </c>
      <c r="U10" s="29" t="s">
        <v>25</v>
      </c>
      <c r="V10" s="29" t="s">
        <v>25</v>
      </c>
      <c r="W10" s="30" t="s">
        <v>25</v>
      </c>
      <c r="X10" s="29" t="s">
        <v>7</v>
      </c>
      <c r="Y10" s="29" t="s">
        <v>7</v>
      </c>
      <c r="Z10" s="30" t="s">
        <v>7</v>
      </c>
      <c r="AA10" s="29" t="s">
        <v>26</v>
      </c>
      <c r="AB10" s="29" t="s">
        <v>26</v>
      </c>
      <c r="AC10" s="30" t="s">
        <v>26</v>
      </c>
      <c r="AD10" s="29" t="s">
        <v>27</v>
      </c>
      <c r="AE10" s="29" t="s">
        <v>27</v>
      </c>
      <c r="AF10" s="30" t="s">
        <v>27</v>
      </c>
      <c r="AG10" s="29" t="s">
        <v>75</v>
      </c>
      <c r="AH10" s="29" t="s">
        <v>74</v>
      </c>
      <c r="AI10" s="30" t="s">
        <v>74</v>
      </c>
      <c r="AJ10" s="29" t="s">
        <v>30</v>
      </c>
      <c r="AK10" s="29" t="s">
        <v>30</v>
      </c>
      <c r="AL10" s="30" t="s">
        <v>30</v>
      </c>
      <c r="AM10" s="29" t="s">
        <v>32</v>
      </c>
      <c r="AN10" s="29" t="s">
        <v>32</v>
      </c>
      <c r="AO10" s="30" t="s">
        <v>32</v>
      </c>
      <c r="AP10" s="29" t="s">
        <v>35</v>
      </c>
      <c r="AQ10" s="29" t="s">
        <v>34</v>
      </c>
      <c r="AR10" s="31" t="s">
        <v>34</v>
      </c>
    </row>
    <row r="11" spans="2:44" x14ac:dyDescent="0.3">
      <c r="B11" s="32" t="str">
        <f t="shared" ref="B11:AR11" si="1">_xlfn.SWITCH($B$5, $H$1, B30, $H$2, B41, $H$3, B52, $H$4, B63)</f>
        <v>김기범</v>
      </c>
      <c r="C11" s="33">
        <f t="shared" si="1"/>
        <v>140000</v>
      </c>
      <c r="D11" s="33">
        <f t="shared" si="1"/>
        <v>179000</v>
      </c>
      <c r="E11" s="34">
        <f t="shared" si="1"/>
        <v>158000</v>
      </c>
      <c r="F11" s="33">
        <f t="shared" si="1"/>
        <v>132000</v>
      </c>
      <c r="G11" s="33">
        <f t="shared" si="1"/>
        <v>149000</v>
      </c>
      <c r="H11" s="34">
        <f t="shared" si="1"/>
        <v>152000</v>
      </c>
      <c r="I11" s="33">
        <f t="shared" si="1"/>
        <v>125000</v>
      </c>
      <c r="J11" s="33">
        <f t="shared" si="1"/>
        <v>125000</v>
      </c>
      <c r="K11" s="34">
        <f t="shared" si="1"/>
        <v>182000</v>
      </c>
      <c r="L11" s="35">
        <f t="shared" si="1"/>
        <v>37</v>
      </c>
      <c r="M11" s="35">
        <f t="shared" si="1"/>
        <v>30</v>
      </c>
      <c r="N11" s="36">
        <f t="shared" si="1"/>
        <v>75</v>
      </c>
      <c r="O11" s="35">
        <f t="shared" si="1"/>
        <v>56</v>
      </c>
      <c r="P11" s="35">
        <f t="shared" si="1"/>
        <v>81</v>
      </c>
      <c r="Q11" s="36">
        <f t="shared" si="1"/>
        <v>63</v>
      </c>
      <c r="R11" s="35">
        <f t="shared" si="1"/>
        <v>10</v>
      </c>
      <c r="S11" s="35">
        <f t="shared" si="1"/>
        <v>7</v>
      </c>
      <c r="T11" s="36">
        <f t="shared" si="1"/>
        <v>8</v>
      </c>
      <c r="U11" s="35">
        <f t="shared" si="1"/>
        <v>21</v>
      </c>
      <c r="V11" s="35">
        <f t="shared" si="1"/>
        <v>19</v>
      </c>
      <c r="W11" s="36">
        <f t="shared" si="1"/>
        <v>9</v>
      </c>
      <c r="X11" s="33">
        <f t="shared" si="1"/>
        <v>7500</v>
      </c>
      <c r="Y11" s="33">
        <f t="shared" si="1"/>
        <v>8600</v>
      </c>
      <c r="Z11" s="34">
        <f t="shared" si="1"/>
        <v>9100</v>
      </c>
      <c r="AA11" s="33">
        <f t="shared" si="1"/>
        <v>750</v>
      </c>
      <c r="AB11" s="33">
        <f t="shared" si="1"/>
        <v>1228.5714285714287</v>
      </c>
      <c r="AC11" s="34">
        <f t="shared" si="1"/>
        <v>1137.5</v>
      </c>
      <c r="AD11" s="33">
        <f t="shared" si="1"/>
        <v>350</v>
      </c>
      <c r="AE11" s="33">
        <f t="shared" si="1"/>
        <v>350</v>
      </c>
      <c r="AF11" s="34">
        <f t="shared" si="1"/>
        <v>300</v>
      </c>
      <c r="AG11" s="33">
        <f t="shared" si="1"/>
        <v>396</v>
      </c>
      <c r="AH11" s="33">
        <f t="shared" si="1"/>
        <v>386</v>
      </c>
      <c r="AI11" s="34">
        <f t="shared" si="1"/>
        <v>364</v>
      </c>
      <c r="AJ11" s="33">
        <f t="shared" si="1"/>
        <v>3783.7837837837837</v>
      </c>
      <c r="AK11" s="33">
        <f t="shared" si="1"/>
        <v>5966.666666666667</v>
      </c>
      <c r="AL11" s="34">
        <f t="shared" si="1"/>
        <v>2106.6666666666665</v>
      </c>
      <c r="AM11" s="33">
        <f t="shared" si="1"/>
        <v>2500</v>
      </c>
      <c r="AN11" s="33">
        <f t="shared" si="1"/>
        <v>2600</v>
      </c>
      <c r="AO11" s="34">
        <f t="shared" si="1"/>
        <v>2900</v>
      </c>
      <c r="AP11" s="33">
        <f t="shared" si="1"/>
        <v>2450</v>
      </c>
      <c r="AQ11" s="33">
        <f t="shared" si="1"/>
        <v>2700</v>
      </c>
      <c r="AR11" s="37">
        <f t="shared" si="1"/>
        <v>2350</v>
      </c>
    </row>
    <row r="12" spans="2:44" x14ac:dyDescent="0.3">
      <c r="B12" s="32" t="str">
        <f t="shared" ref="B12:AR12" si="2">_xlfn.SWITCH($B$5, $H$1, B31, $H$2, B42, $H$3, B53, $H$4, B64)</f>
        <v>안동휘</v>
      </c>
      <c r="C12" s="33">
        <f t="shared" si="2"/>
        <v>137000</v>
      </c>
      <c r="D12" s="33">
        <f t="shared" si="2"/>
        <v>171000</v>
      </c>
      <c r="E12" s="34">
        <f t="shared" si="2"/>
        <v>103000</v>
      </c>
      <c r="F12" s="33">
        <f t="shared" si="2"/>
        <v>136000</v>
      </c>
      <c r="G12" s="33">
        <f t="shared" si="2"/>
        <v>171000</v>
      </c>
      <c r="H12" s="34">
        <f t="shared" si="2"/>
        <v>158000</v>
      </c>
      <c r="I12" s="33">
        <f t="shared" si="2"/>
        <v>115000</v>
      </c>
      <c r="J12" s="33">
        <f t="shared" si="2"/>
        <v>124000</v>
      </c>
      <c r="K12" s="34">
        <f t="shared" si="2"/>
        <v>159000</v>
      </c>
      <c r="L12" s="35">
        <f t="shared" si="2"/>
        <v>44</v>
      </c>
      <c r="M12" s="35">
        <f t="shared" si="2"/>
        <v>30</v>
      </c>
      <c r="N12" s="36">
        <f t="shared" si="2"/>
        <v>71</v>
      </c>
      <c r="O12" s="35">
        <f t="shared" si="2"/>
        <v>69</v>
      </c>
      <c r="P12" s="35">
        <f t="shared" si="2"/>
        <v>55</v>
      </c>
      <c r="Q12" s="36">
        <f t="shared" si="2"/>
        <v>67</v>
      </c>
      <c r="R12" s="35">
        <f t="shared" si="2"/>
        <v>4</v>
      </c>
      <c r="S12" s="35">
        <f t="shared" si="2"/>
        <v>8</v>
      </c>
      <c r="T12" s="36">
        <f t="shared" si="2"/>
        <v>12</v>
      </c>
      <c r="U12" s="35">
        <f t="shared" si="2"/>
        <v>18</v>
      </c>
      <c r="V12" s="35">
        <f t="shared" si="2"/>
        <v>18</v>
      </c>
      <c r="W12" s="36">
        <f t="shared" si="2"/>
        <v>25</v>
      </c>
      <c r="X12" s="33">
        <f t="shared" si="2"/>
        <v>9000</v>
      </c>
      <c r="Y12" s="33">
        <f t="shared" si="2"/>
        <v>10900</v>
      </c>
      <c r="Z12" s="34">
        <f t="shared" si="2"/>
        <v>7600</v>
      </c>
      <c r="AA12" s="33">
        <f t="shared" si="2"/>
        <v>2250</v>
      </c>
      <c r="AB12" s="33">
        <f t="shared" si="2"/>
        <v>1362.5</v>
      </c>
      <c r="AC12" s="34">
        <f t="shared" si="2"/>
        <v>633.33333333333337</v>
      </c>
      <c r="AD12" s="33">
        <f t="shared" si="2"/>
        <v>350</v>
      </c>
      <c r="AE12" s="33">
        <f t="shared" si="2"/>
        <v>350</v>
      </c>
      <c r="AF12" s="34">
        <f t="shared" si="2"/>
        <v>300</v>
      </c>
      <c r="AG12" s="33">
        <f t="shared" si="2"/>
        <v>392</v>
      </c>
      <c r="AH12" s="33">
        <f t="shared" si="2"/>
        <v>373</v>
      </c>
      <c r="AI12" s="34">
        <f t="shared" si="2"/>
        <v>356</v>
      </c>
      <c r="AJ12" s="33">
        <f t="shared" si="2"/>
        <v>3113.6363636363635</v>
      </c>
      <c r="AK12" s="33">
        <f t="shared" si="2"/>
        <v>5700</v>
      </c>
      <c r="AL12" s="34">
        <f t="shared" si="2"/>
        <v>1450.7042253521126</v>
      </c>
      <c r="AM12" s="33">
        <f t="shared" si="2"/>
        <v>2200</v>
      </c>
      <c r="AN12" s="33">
        <f t="shared" si="2"/>
        <v>2100</v>
      </c>
      <c r="AO12" s="34">
        <f t="shared" si="2"/>
        <v>3100</v>
      </c>
      <c r="AP12" s="33">
        <f t="shared" si="2"/>
        <v>2450</v>
      </c>
      <c r="AQ12" s="33">
        <f t="shared" si="2"/>
        <v>2700</v>
      </c>
      <c r="AR12" s="37">
        <f t="shared" si="2"/>
        <v>2350</v>
      </c>
    </row>
    <row r="13" spans="2:44" x14ac:dyDescent="0.3">
      <c r="B13" s="32" t="str">
        <f t="shared" ref="B13:AR13" si="3">_xlfn.SWITCH($B$5, $H$1, B32, $H$2, B43, $H$3, B54, $H$4, B65)</f>
        <v>남범수</v>
      </c>
      <c r="C13" s="33">
        <f t="shared" si="3"/>
        <v>180000</v>
      </c>
      <c r="D13" s="33">
        <f t="shared" si="3"/>
        <v>170000</v>
      </c>
      <c r="E13" s="34">
        <f t="shared" si="3"/>
        <v>138000</v>
      </c>
      <c r="F13" s="33">
        <f t="shared" si="3"/>
        <v>138000</v>
      </c>
      <c r="G13" s="33">
        <f t="shared" si="3"/>
        <v>134000</v>
      </c>
      <c r="H13" s="34">
        <f t="shared" si="3"/>
        <v>124000</v>
      </c>
      <c r="I13" s="33">
        <f t="shared" si="3"/>
        <v>144000</v>
      </c>
      <c r="J13" s="33">
        <f t="shared" si="3"/>
        <v>118000</v>
      </c>
      <c r="K13" s="34">
        <f t="shared" si="3"/>
        <v>105000</v>
      </c>
      <c r="L13" s="35">
        <f t="shared" si="3"/>
        <v>69</v>
      </c>
      <c r="M13" s="35">
        <f t="shared" si="3"/>
        <v>80</v>
      </c>
      <c r="N13" s="36">
        <f t="shared" si="3"/>
        <v>48</v>
      </c>
      <c r="O13" s="35">
        <f t="shared" si="3"/>
        <v>80</v>
      </c>
      <c r="P13" s="35">
        <f t="shared" si="3"/>
        <v>40</v>
      </c>
      <c r="Q13" s="36">
        <f t="shared" si="3"/>
        <v>49</v>
      </c>
      <c r="R13" s="35">
        <f t="shared" si="3"/>
        <v>11</v>
      </c>
      <c r="S13" s="35">
        <f t="shared" si="3"/>
        <v>18</v>
      </c>
      <c r="T13" s="36">
        <f t="shared" si="3"/>
        <v>8</v>
      </c>
      <c r="U13" s="35">
        <f t="shared" si="3"/>
        <v>19</v>
      </c>
      <c r="V13" s="35">
        <f t="shared" si="3"/>
        <v>24</v>
      </c>
      <c r="W13" s="36">
        <f t="shared" si="3"/>
        <v>11</v>
      </c>
      <c r="X13" s="33">
        <f t="shared" si="3"/>
        <v>9800</v>
      </c>
      <c r="Y13" s="33">
        <f t="shared" si="3"/>
        <v>9800</v>
      </c>
      <c r="Z13" s="34">
        <f t="shared" si="3"/>
        <v>8100</v>
      </c>
      <c r="AA13" s="33">
        <f t="shared" si="3"/>
        <v>890.90909090909088</v>
      </c>
      <c r="AB13" s="33">
        <f t="shared" si="3"/>
        <v>544.44444444444446</v>
      </c>
      <c r="AC13" s="34">
        <f t="shared" si="3"/>
        <v>1012.5</v>
      </c>
      <c r="AD13" s="33">
        <f t="shared" si="3"/>
        <v>350</v>
      </c>
      <c r="AE13" s="33">
        <f t="shared" si="3"/>
        <v>350</v>
      </c>
      <c r="AF13" s="34">
        <f t="shared" si="3"/>
        <v>300</v>
      </c>
      <c r="AG13" s="33">
        <f t="shared" si="3"/>
        <v>369</v>
      </c>
      <c r="AH13" s="33">
        <f t="shared" si="3"/>
        <v>391</v>
      </c>
      <c r="AI13" s="34">
        <f t="shared" si="3"/>
        <v>394</v>
      </c>
      <c r="AJ13" s="33">
        <f t="shared" si="3"/>
        <v>2608.695652173913</v>
      </c>
      <c r="AK13" s="33">
        <f t="shared" si="3"/>
        <v>2125</v>
      </c>
      <c r="AL13" s="34">
        <f t="shared" si="3"/>
        <v>2875</v>
      </c>
      <c r="AM13" s="33">
        <f t="shared" si="3"/>
        <v>2800</v>
      </c>
      <c r="AN13" s="33">
        <f t="shared" si="3"/>
        <v>3000</v>
      </c>
      <c r="AO13" s="34">
        <f t="shared" si="3"/>
        <v>2400</v>
      </c>
      <c r="AP13" s="33">
        <f t="shared" si="3"/>
        <v>2450</v>
      </c>
      <c r="AQ13" s="33">
        <f t="shared" si="3"/>
        <v>2700</v>
      </c>
      <c r="AR13" s="37">
        <f t="shared" si="3"/>
        <v>2350</v>
      </c>
    </row>
    <row r="14" spans="2:44" x14ac:dyDescent="0.3">
      <c r="B14" s="32" t="str">
        <f t="shared" ref="B14:AR14" si="4">_xlfn.SWITCH($B$5, $H$1, B33, $H$2, B44, $H$3, B55, $H$4, B66)</f>
        <v>오지훈</v>
      </c>
      <c r="C14" s="33">
        <f t="shared" si="4"/>
        <v>164000</v>
      </c>
      <c r="D14" s="33">
        <f t="shared" si="4"/>
        <v>138000</v>
      </c>
      <c r="E14" s="34">
        <f t="shared" si="4"/>
        <v>178000</v>
      </c>
      <c r="F14" s="33">
        <f t="shared" si="4"/>
        <v>175000</v>
      </c>
      <c r="G14" s="33">
        <f t="shared" si="4"/>
        <v>186000</v>
      </c>
      <c r="H14" s="34">
        <f t="shared" si="4"/>
        <v>179000</v>
      </c>
      <c r="I14" s="33">
        <f t="shared" si="4"/>
        <v>169000</v>
      </c>
      <c r="J14" s="33">
        <f t="shared" si="4"/>
        <v>128000</v>
      </c>
      <c r="K14" s="34">
        <f t="shared" si="4"/>
        <v>184000</v>
      </c>
      <c r="L14" s="35">
        <f t="shared" si="4"/>
        <v>38</v>
      </c>
      <c r="M14" s="35">
        <f t="shared" si="4"/>
        <v>74</v>
      </c>
      <c r="N14" s="36">
        <f t="shared" si="4"/>
        <v>42</v>
      </c>
      <c r="O14" s="35">
        <f t="shared" si="4"/>
        <v>63</v>
      </c>
      <c r="P14" s="35">
        <f t="shared" si="4"/>
        <v>35</v>
      </c>
      <c r="Q14" s="36">
        <f t="shared" si="4"/>
        <v>59</v>
      </c>
      <c r="R14" s="35">
        <f t="shared" si="4"/>
        <v>11</v>
      </c>
      <c r="S14" s="35">
        <f t="shared" si="4"/>
        <v>13</v>
      </c>
      <c r="T14" s="36">
        <f t="shared" si="4"/>
        <v>5</v>
      </c>
      <c r="U14" s="35">
        <f t="shared" si="4"/>
        <v>20</v>
      </c>
      <c r="V14" s="35">
        <f t="shared" si="4"/>
        <v>25</v>
      </c>
      <c r="W14" s="36">
        <f t="shared" si="4"/>
        <v>15</v>
      </c>
      <c r="X14" s="33">
        <f t="shared" si="4"/>
        <v>8400</v>
      </c>
      <c r="Y14" s="33">
        <f t="shared" si="4"/>
        <v>10400</v>
      </c>
      <c r="Z14" s="34">
        <f t="shared" si="4"/>
        <v>10200</v>
      </c>
      <c r="AA14" s="33">
        <f t="shared" si="4"/>
        <v>763.63636363636363</v>
      </c>
      <c r="AB14" s="33">
        <f t="shared" si="4"/>
        <v>800</v>
      </c>
      <c r="AC14" s="34">
        <f t="shared" si="4"/>
        <v>2040</v>
      </c>
      <c r="AD14" s="33">
        <f t="shared" si="4"/>
        <v>350</v>
      </c>
      <c r="AE14" s="33">
        <f t="shared" si="4"/>
        <v>350</v>
      </c>
      <c r="AF14" s="34">
        <f t="shared" si="4"/>
        <v>300</v>
      </c>
      <c r="AG14" s="33">
        <f t="shared" si="4"/>
        <v>377</v>
      </c>
      <c r="AH14" s="33">
        <f t="shared" si="4"/>
        <v>369</v>
      </c>
      <c r="AI14" s="34">
        <f t="shared" si="4"/>
        <v>397</v>
      </c>
      <c r="AJ14" s="33">
        <f t="shared" si="4"/>
        <v>4315.7894736842109</v>
      </c>
      <c r="AK14" s="33">
        <f t="shared" si="4"/>
        <v>1864.8648648648648</v>
      </c>
      <c r="AL14" s="34">
        <f t="shared" si="4"/>
        <v>4238.0952380952385</v>
      </c>
      <c r="AM14" s="33">
        <f t="shared" si="4"/>
        <v>2000</v>
      </c>
      <c r="AN14" s="33">
        <f t="shared" si="4"/>
        <v>2800</v>
      </c>
      <c r="AO14" s="34">
        <f t="shared" si="4"/>
        <v>2600</v>
      </c>
      <c r="AP14" s="33">
        <f t="shared" si="4"/>
        <v>2450</v>
      </c>
      <c r="AQ14" s="33">
        <f t="shared" si="4"/>
        <v>2700</v>
      </c>
      <c r="AR14" s="37">
        <f t="shared" si="4"/>
        <v>2350</v>
      </c>
    </row>
    <row r="15" spans="2:44" x14ac:dyDescent="0.3">
      <c r="B15" s="32" t="str">
        <f t="shared" ref="B15:AR15" si="5">_xlfn.SWITCH($B$5, $H$1, B34, $H$2, B45, $H$3, B56, $H$4, B67)</f>
        <v>박지수</v>
      </c>
      <c r="C15" s="33">
        <f t="shared" si="5"/>
        <v>121000</v>
      </c>
      <c r="D15" s="33">
        <f t="shared" si="5"/>
        <v>176000</v>
      </c>
      <c r="E15" s="34">
        <f t="shared" si="5"/>
        <v>127000</v>
      </c>
      <c r="F15" s="33">
        <f t="shared" si="5"/>
        <v>145000</v>
      </c>
      <c r="G15" s="33">
        <f t="shared" si="5"/>
        <v>125000</v>
      </c>
      <c r="H15" s="34">
        <f t="shared" si="5"/>
        <v>190000</v>
      </c>
      <c r="I15" s="33">
        <f t="shared" si="5"/>
        <v>169000</v>
      </c>
      <c r="J15" s="33">
        <f t="shared" si="5"/>
        <v>175000</v>
      </c>
      <c r="K15" s="34">
        <f t="shared" si="5"/>
        <v>141000</v>
      </c>
      <c r="L15" s="35">
        <f t="shared" si="5"/>
        <v>49</v>
      </c>
      <c r="M15" s="35">
        <f t="shared" si="5"/>
        <v>84</v>
      </c>
      <c r="N15" s="36">
        <f t="shared" si="5"/>
        <v>77</v>
      </c>
      <c r="O15" s="35">
        <f t="shared" si="5"/>
        <v>47</v>
      </c>
      <c r="P15" s="35">
        <f t="shared" si="5"/>
        <v>57</v>
      </c>
      <c r="Q15" s="36">
        <f t="shared" si="5"/>
        <v>36</v>
      </c>
      <c r="R15" s="35">
        <f t="shared" si="5"/>
        <v>14</v>
      </c>
      <c r="S15" s="35">
        <f t="shared" si="5"/>
        <v>11</v>
      </c>
      <c r="T15" s="36">
        <f t="shared" si="5"/>
        <v>16</v>
      </c>
      <c r="U15" s="35">
        <f t="shared" si="5"/>
        <v>16</v>
      </c>
      <c r="V15" s="35">
        <f t="shared" si="5"/>
        <v>24</v>
      </c>
      <c r="W15" s="36">
        <f t="shared" si="5"/>
        <v>13</v>
      </c>
      <c r="X15" s="33">
        <f t="shared" si="5"/>
        <v>8700</v>
      </c>
      <c r="Y15" s="33">
        <f t="shared" si="5"/>
        <v>5900</v>
      </c>
      <c r="Z15" s="34">
        <f t="shared" si="5"/>
        <v>7700</v>
      </c>
      <c r="AA15" s="33">
        <f t="shared" si="5"/>
        <v>621.42857142857144</v>
      </c>
      <c r="AB15" s="33">
        <f t="shared" si="5"/>
        <v>536.36363636363637</v>
      </c>
      <c r="AC15" s="34">
        <f t="shared" si="5"/>
        <v>481.25</v>
      </c>
      <c r="AD15" s="33">
        <f t="shared" si="5"/>
        <v>350</v>
      </c>
      <c r="AE15" s="33">
        <f t="shared" si="5"/>
        <v>350</v>
      </c>
      <c r="AF15" s="34">
        <f t="shared" si="5"/>
        <v>300</v>
      </c>
      <c r="AG15" s="33">
        <f t="shared" si="5"/>
        <v>396</v>
      </c>
      <c r="AH15" s="33">
        <f t="shared" si="5"/>
        <v>393</v>
      </c>
      <c r="AI15" s="34">
        <f t="shared" si="5"/>
        <v>406</v>
      </c>
      <c r="AJ15" s="33">
        <f t="shared" si="5"/>
        <v>2469.387755102041</v>
      </c>
      <c r="AK15" s="33">
        <f t="shared" si="5"/>
        <v>2095.2380952380954</v>
      </c>
      <c r="AL15" s="34">
        <f t="shared" si="5"/>
        <v>1649.3506493506493</v>
      </c>
      <c r="AM15" s="33">
        <f t="shared" si="5"/>
        <v>2100</v>
      </c>
      <c r="AN15" s="33">
        <f t="shared" si="5"/>
        <v>3000</v>
      </c>
      <c r="AO15" s="34">
        <f t="shared" si="5"/>
        <v>2400</v>
      </c>
      <c r="AP15" s="33">
        <f t="shared" si="5"/>
        <v>2450</v>
      </c>
      <c r="AQ15" s="33">
        <f t="shared" si="5"/>
        <v>2700</v>
      </c>
      <c r="AR15" s="37">
        <f t="shared" si="5"/>
        <v>2350</v>
      </c>
    </row>
    <row r="16" spans="2:44" ht="19.149999999999999" customHeight="1" thickBot="1" x14ac:dyDescent="0.35">
      <c r="B16" s="38" t="s">
        <v>57</v>
      </c>
      <c r="C16" s="39">
        <f>SUM(C11:C15)</f>
        <v>742000</v>
      </c>
      <c r="D16" s="39">
        <f t="shared" ref="D16" si="6">SUM(D11:D15)</f>
        <v>834000</v>
      </c>
      <c r="E16" s="40">
        <f t="shared" ref="E16" si="7">SUM(E11:E15)</f>
        <v>704000</v>
      </c>
      <c r="F16" s="39">
        <f t="shared" ref="F16" si="8">SUM(F11:F15)</f>
        <v>726000</v>
      </c>
      <c r="G16" s="39">
        <f t="shared" ref="G16" si="9">SUM(G11:G15)</f>
        <v>765000</v>
      </c>
      <c r="H16" s="40">
        <f t="shared" ref="H16" si="10">SUM(H11:H15)</f>
        <v>803000</v>
      </c>
      <c r="I16" s="39">
        <f t="shared" ref="I16" si="11">SUM(I11:I15)</f>
        <v>722000</v>
      </c>
      <c r="J16" s="39">
        <f t="shared" ref="J16" si="12">SUM(J11:J15)</f>
        <v>670000</v>
      </c>
      <c r="K16" s="40">
        <f t="shared" ref="K16" si="13">SUM(K11:K15)</f>
        <v>771000</v>
      </c>
      <c r="L16" s="41">
        <f t="shared" ref="L16" si="14">SUM(L11:L15)</f>
        <v>237</v>
      </c>
      <c r="M16" s="41">
        <f t="shared" ref="M16" si="15">SUM(M11:M15)</f>
        <v>298</v>
      </c>
      <c r="N16" s="42">
        <f t="shared" ref="N16" si="16">SUM(N11:N15)</f>
        <v>313</v>
      </c>
      <c r="O16" s="41">
        <f t="shared" ref="O16" si="17">SUM(O11:O15)</f>
        <v>315</v>
      </c>
      <c r="P16" s="41">
        <f t="shared" ref="P16" si="18">SUM(P11:P15)</f>
        <v>268</v>
      </c>
      <c r="Q16" s="42">
        <f t="shared" ref="Q16" si="19">SUM(Q11:Q15)</f>
        <v>274</v>
      </c>
      <c r="R16" s="41">
        <f t="shared" ref="R16" si="20">SUM(R11:R15)</f>
        <v>50</v>
      </c>
      <c r="S16" s="41">
        <f t="shared" ref="S16" si="21">SUM(S11:S15)</f>
        <v>57</v>
      </c>
      <c r="T16" s="42">
        <f t="shared" ref="T16" si="22">SUM(T11:T15)</f>
        <v>49</v>
      </c>
      <c r="U16" s="41">
        <f t="shared" ref="U16" si="23">SUM(U11:U15)</f>
        <v>94</v>
      </c>
      <c r="V16" s="41">
        <f t="shared" ref="V16" si="24">SUM(V11:V15)</f>
        <v>110</v>
      </c>
      <c r="W16" s="42">
        <f t="shared" ref="W16" si="25">SUM(W11:W15)</f>
        <v>73</v>
      </c>
      <c r="X16" s="39">
        <f t="shared" ref="X16" si="26">SUM(X11:X15)</f>
        <v>43400</v>
      </c>
      <c r="Y16" s="39">
        <f t="shared" ref="Y16" si="27">SUM(Y11:Y15)</f>
        <v>45600</v>
      </c>
      <c r="Z16" s="40">
        <f t="shared" ref="Z16" si="28">SUM(Z11:Z15)</f>
        <v>42700</v>
      </c>
      <c r="AA16" s="39">
        <f>AVERAGE(AA11:AA15)</f>
        <v>1055.1948051948052</v>
      </c>
      <c r="AB16" s="39">
        <f t="shared" ref="AB16:AI16" si="29">AVERAGE(AB11:AB15)</f>
        <v>894.37590187590172</v>
      </c>
      <c r="AC16" s="39">
        <f t="shared" si="29"/>
        <v>1060.9166666666667</v>
      </c>
      <c r="AD16" s="43">
        <f>AVERAGE(AD11:AD15)</f>
        <v>350</v>
      </c>
      <c r="AE16" s="39">
        <f t="shared" ref="AE16" si="30">AVERAGE(AE11:AE15)</f>
        <v>350</v>
      </c>
      <c r="AF16" s="39">
        <f t="shared" ref="AF16" si="31">AVERAGE(AF11:AF15)</f>
        <v>300</v>
      </c>
      <c r="AG16" s="43">
        <f t="shared" si="29"/>
        <v>386</v>
      </c>
      <c r="AH16" s="39">
        <f t="shared" si="29"/>
        <v>382.4</v>
      </c>
      <c r="AI16" s="39">
        <f t="shared" si="29"/>
        <v>383.4</v>
      </c>
      <c r="AJ16" s="43">
        <f>AVERAGE(AJ11:AJ15)</f>
        <v>3258.258605676062</v>
      </c>
      <c r="AK16" s="39">
        <f t="shared" ref="AK16" si="32">AVERAGE(AK11:AK15)</f>
        <v>3550.3539253539261</v>
      </c>
      <c r="AL16" s="39">
        <f t="shared" ref="AL16" si="33">AVERAGE(AL11:AL15)</f>
        <v>2463.9633558929336</v>
      </c>
      <c r="AM16" s="43">
        <f>AVERAGE(AM11:AM15)</f>
        <v>2320</v>
      </c>
      <c r="AN16" s="39">
        <f t="shared" ref="AN16" si="34">AVERAGE(AN11:AN15)</f>
        <v>2700</v>
      </c>
      <c r="AO16" s="39">
        <f t="shared" ref="AO16" si="35">AVERAGE(AO11:AO15)</f>
        <v>2680</v>
      </c>
      <c r="AP16" s="43">
        <f>AVERAGE(AP11:AP15)</f>
        <v>2450</v>
      </c>
      <c r="AQ16" s="39">
        <f t="shared" ref="AQ16" si="36">AVERAGE(AQ11:AQ15)</f>
        <v>2700</v>
      </c>
      <c r="AR16" s="44">
        <f t="shared" ref="AR16" si="37">AVERAGE(AR11:AR15)</f>
        <v>2350</v>
      </c>
    </row>
    <row r="18" spans="2:44" ht="19.899999999999999" customHeight="1" x14ac:dyDescent="0.3">
      <c r="B18" s="45" t="s">
        <v>48</v>
      </c>
      <c r="D18" s="46">
        <f>SUM(Calculations!C35:E35,Calculations!C46:E46,Calculations!C57:E57,Calculations!C68:E68)</f>
        <v>8779000</v>
      </c>
    </row>
    <row r="19" spans="2:44" ht="19.899999999999999" customHeight="1" x14ac:dyDescent="0.3">
      <c r="B19" s="45" t="s">
        <v>49</v>
      </c>
      <c r="D19" s="47">
        <f>SUM(L35:N35,L46:N46,L57:N57,L68:N68)</f>
        <v>3548</v>
      </c>
    </row>
    <row r="20" spans="2:44" ht="19.899999999999999" customHeight="1" x14ac:dyDescent="0.3">
      <c r="B20" s="45" t="s">
        <v>50</v>
      </c>
      <c r="D20" s="47">
        <f>SUM(R35:T35,R46:T46,R57:T57,R68:T68)</f>
        <v>713</v>
      </c>
    </row>
    <row r="21" spans="2:44" ht="19.899999999999999" customHeight="1" x14ac:dyDescent="0.3">
      <c r="B21" s="45" t="s">
        <v>51</v>
      </c>
      <c r="D21" s="46">
        <f>D18/D19</f>
        <v>2474.3517474633595</v>
      </c>
    </row>
    <row r="25" spans="2:44" ht="23.45" customHeight="1" thickBot="1" x14ac:dyDescent="0.35"/>
    <row r="26" spans="2:44" ht="6.6" customHeight="1" x14ac:dyDescent="0.3"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50"/>
    </row>
    <row r="27" spans="2:44" ht="26.25" x14ac:dyDescent="0.3">
      <c r="B27" s="51"/>
      <c r="C27" s="72" t="str">
        <f>H1</f>
        <v>Q1 2023</v>
      </c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5"/>
    </row>
    <row r="28" spans="2:44" ht="15.6" customHeight="1" x14ac:dyDescent="0.3">
      <c r="B28" s="52"/>
      <c r="C28" s="53" t="s">
        <v>36</v>
      </c>
      <c r="D28" s="53" t="s">
        <v>37</v>
      </c>
      <c r="E28" s="54" t="s">
        <v>38</v>
      </c>
      <c r="F28" s="53" t="s">
        <v>36</v>
      </c>
      <c r="G28" s="53" t="s">
        <v>37</v>
      </c>
      <c r="H28" s="54" t="s">
        <v>38</v>
      </c>
      <c r="I28" s="53" t="s">
        <v>36</v>
      </c>
      <c r="J28" s="53" t="s">
        <v>37</v>
      </c>
      <c r="K28" s="54" t="s">
        <v>38</v>
      </c>
      <c r="L28" s="53" t="s">
        <v>36</v>
      </c>
      <c r="M28" s="53" t="s">
        <v>37</v>
      </c>
      <c r="N28" s="54" t="s">
        <v>38</v>
      </c>
      <c r="O28" s="53" t="s">
        <v>36</v>
      </c>
      <c r="P28" s="53" t="s">
        <v>37</v>
      </c>
      <c r="Q28" s="54" t="s">
        <v>38</v>
      </c>
      <c r="R28" s="53" t="s">
        <v>36</v>
      </c>
      <c r="S28" s="53" t="s">
        <v>37</v>
      </c>
      <c r="T28" s="54" t="s">
        <v>38</v>
      </c>
      <c r="U28" s="53" t="s">
        <v>36</v>
      </c>
      <c r="V28" s="53" t="s">
        <v>37</v>
      </c>
      <c r="W28" s="55" t="s">
        <v>38</v>
      </c>
      <c r="X28" s="53" t="s">
        <v>36</v>
      </c>
      <c r="Y28" s="53" t="s">
        <v>37</v>
      </c>
      <c r="Z28" s="55" t="s">
        <v>38</v>
      </c>
      <c r="AA28" s="53" t="s">
        <v>36</v>
      </c>
      <c r="AB28" s="53" t="s">
        <v>37</v>
      </c>
      <c r="AC28" s="55" t="s">
        <v>38</v>
      </c>
      <c r="AD28" s="53" t="s">
        <v>36</v>
      </c>
      <c r="AE28" s="53" t="s">
        <v>37</v>
      </c>
      <c r="AF28" s="55" t="s">
        <v>38</v>
      </c>
      <c r="AG28" s="53" t="s">
        <v>36</v>
      </c>
      <c r="AH28" s="53" t="s">
        <v>37</v>
      </c>
      <c r="AI28" s="55" t="s">
        <v>38</v>
      </c>
      <c r="AJ28" s="53" t="s">
        <v>36</v>
      </c>
      <c r="AK28" s="53" t="s">
        <v>37</v>
      </c>
      <c r="AL28" s="55" t="s">
        <v>38</v>
      </c>
      <c r="AM28" s="53" t="s">
        <v>36</v>
      </c>
      <c r="AN28" s="53" t="s">
        <v>37</v>
      </c>
      <c r="AO28" s="55" t="s">
        <v>38</v>
      </c>
      <c r="AP28" s="53" t="s">
        <v>36</v>
      </c>
      <c r="AQ28" s="56" t="s">
        <v>37</v>
      </c>
      <c r="AR28" s="57" t="s">
        <v>38</v>
      </c>
    </row>
    <row r="29" spans="2:44" ht="51" customHeight="1" x14ac:dyDescent="0.3">
      <c r="B29" s="51"/>
      <c r="C29" s="58" t="s">
        <v>20</v>
      </c>
      <c r="D29" s="58" t="s">
        <v>20</v>
      </c>
      <c r="E29" s="59" t="s">
        <v>20</v>
      </c>
      <c r="F29" s="58" t="s">
        <v>21</v>
      </c>
      <c r="G29" s="58" t="s">
        <v>21</v>
      </c>
      <c r="H29" s="59" t="s">
        <v>21</v>
      </c>
      <c r="I29" s="60" t="s">
        <v>22</v>
      </c>
      <c r="J29" s="60" t="s">
        <v>22</v>
      </c>
      <c r="K29" s="61" t="s">
        <v>22</v>
      </c>
      <c r="L29" s="60" t="s">
        <v>58</v>
      </c>
      <c r="M29" s="60" t="s">
        <v>58</v>
      </c>
      <c r="N29" s="61" t="s">
        <v>58</v>
      </c>
      <c r="O29" s="60" t="s">
        <v>60</v>
      </c>
      <c r="P29" s="60" t="s">
        <v>60</v>
      </c>
      <c r="Q29" s="61" t="s">
        <v>60</v>
      </c>
      <c r="R29" s="60" t="s">
        <v>23</v>
      </c>
      <c r="S29" s="60" t="s">
        <v>23</v>
      </c>
      <c r="T29" s="61" t="s">
        <v>23</v>
      </c>
      <c r="U29" s="60" t="s">
        <v>24</v>
      </c>
      <c r="V29" s="60" t="s">
        <v>24</v>
      </c>
      <c r="W29" s="61" t="s">
        <v>24</v>
      </c>
      <c r="X29" s="60" t="s">
        <v>7</v>
      </c>
      <c r="Y29" s="60" t="s">
        <v>7</v>
      </c>
      <c r="Z29" s="61" t="s">
        <v>7</v>
      </c>
      <c r="AA29" s="60" t="s">
        <v>26</v>
      </c>
      <c r="AB29" s="60" t="s">
        <v>26</v>
      </c>
      <c r="AC29" s="61" t="s">
        <v>26</v>
      </c>
      <c r="AD29" s="60" t="s">
        <v>29</v>
      </c>
      <c r="AE29" s="60" t="s">
        <v>29</v>
      </c>
      <c r="AF29" s="60" t="s">
        <v>29</v>
      </c>
      <c r="AG29" s="62" t="s">
        <v>74</v>
      </c>
      <c r="AH29" s="60" t="s">
        <v>74</v>
      </c>
      <c r="AI29" s="61" t="s">
        <v>74</v>
      </c>
      <c r="AJ29" s="60" t="s">
        <v>31</v>
      </c>
      <c r="AK29" s="60" t="s">
        <v>31</v>
      </c>
      <c r="AL29" s="61" t="s">
        <v>30</v>
      </c>
      <c r="AM29" s="60" t="s">
        <v>32</v>
      </c>
      <c r="AN29" s="60" t="s">
        <v>32</v>
      </c>
      <c r="AO29" s="61" t="s">
        <v>32</v>
      </c>
      <c r="AP29" s="60" t="s">
        <v>34</v>
      </c>
      <c r="AQ29" s="60" t="s">
        <v>34</v>
      </c>
      <c r="AR29" s="63" t="s">
        <v>34</v>
      </c>
    </row>
    <row r="30" spans="2:44" x14ac:dyDescent="0.3">
      <c r="B30" s="32" t="s">
        <v>52</v>
      </c>
      <c r="C30" s="33" cm="1">
        <f t="array" ref="C30">INDEX(표2[매출액],MATCH($B30&amp;C$28,표2[이름]&amp;표2[월],0),1)</f>
        <v>152000</v>
      </c>
      <c r="D30" s="33" cm="1">
        <f t="array" ref="D30">INDEX(표2[매출액],MATCH($B30&amp;D$28,표2[이름]&amp;표2[월],0),1)</f>
        <v>111000</v>
      </c>
      <c r="E30" s="34" cm="1">
        <f t="array" ref="E30">INDEX(표2[매출액],MATCH($B30&amp;E$28,표2[이름]&amp;표2[월],0),1)</f>
        <v>182000</v>
      </c>
      <c r="F30" s="33" cm="1">
        <f t="array" ref="F30">INDEX(표2[목표매출액],MATCH($B30&amp;F$28,표2[이름]&amp;표2[월],0),1)</f>
        <v>193000</v>
      </c>
      <c r="G30" s="33" cm="1">
        <f t="array" ref="G30">INDEX(표2[목표매출액],MATCH($B30&amp;G$28,표2[이름]&amp;표2[월],0),1)</f>
        <v>144000</v>
      </c>
      <c r="H30" s="34" cm="1">
        <f t="array" ref="H30">INDEX(표2[목표매출액],MATCH($B30&amp;H$28,표2[이름]&amp;표2[월],0),1)</f>
        <v>169000</v>
      </c>
      <c r="I30" s="33" cm="1">
        <f t="array" ref="I30">INDEX(표2[전년도매출액],MATCH($B30&amp;I$28,표2[이름]&amp;표2[월],0),1)</f>
        <v>153000</v>
      </c>
      <c r="J30" s="33" cm="1">
        <f t="array" ref="J30">INDEX(표2[전년도매출액],MATCH($B30&amp;J$28,표2[이름]&amp;표2[월],0),1)</f>
        <v>132000</v>
      </c>
      <c r="K30" s="34" cm="1">
        <f t="array" ref="K30">INDEX(표2[전년도매출액],MATCH($B30&amp;K$28,표2[이름]&amp;표2[월],0),1)</f>
        <v>164000</v>
      </c>
      <c r="L30" s="35" cm="1">
        <f t="array" ref="L30">INDEX(표2[전체고객수],MATCH($B30&amp;L$28,표2[이름]&amp;표2[월],0),1)</f>
        <v>68</v>
      </c>
      <c r="M30" s="35" cm="1">
        <f t="array" ref="M30">INDEX(표2[전체고객수],MATCH($B30&amp;M$28,표2[이름]&amp;표2[월],0),1)</f>
        <v>80</v>
      </c>
      <c r="N30" s="36" cm="1">
        <f t="array" ref="N30">INDEX(표2[전체고객수],MATCH($B30&amp;N$28,표2[이름]&amp;표2[월],0),1)</f>
        <v>80</v>
      </c>
      <c r="O30" s="35" cm="1">
        <f t="array" ref="O30">INDEX(표2[목표신규고객수],MATCH($B30&amp;O$28,표2[이름]&amp;표2[월],0),1)</f>
        <v>40</v>
      </c>
      <c r="P30" s="35" cm="1">
        <f t="array" ref="P30">INDEX(표2[목표신규고객수],MATCH($B30&amp;P$28,표2[이름]&amp;표2[월],0),1)</f>
        <v>33</v>
      </c>
      <c r="Q30" s="36" cm="1">
        <f t="array" ref="Q30">INDEX(표2[목표신규고객수],MATCH($B30&amp;Q$28,표2[이름]&amp;표2[월],0),1)</f>
        <v>37</v>
      </c>
      <c r="R30" s="35" cm="1">
        <f t="array" ref="R30">INDEX(표2[신규고객수],MATCH($B30&amp;R$28,표2[이름]&amp;표2[월],0),1)</f>
        <v>17</v>
      </c>
      <c r="S30" s="35" cm="1">
        <f t="array" ref="S30">INDEX(표2[신규고객수],MATCH($B30&amp;S$28,표2[이름]&amp;표2[월],0),1)</f>
        <v>16</v>
      </c>
      <c r="T30" s="36" cm="1">
        <f t="array" ref="T30">INDEX(표2[신규고객수],MATCH($B30&amp;T$28,표2[이름]&amp;표2[월],0),1)</f>
        <v>18</v>
      </c>
      <c r="U30" s="35" cm="1">
        <f t="array" ref="U30">INDEX(표2[전년도신규고객수],MATCH($B30&amp;U$28,표2[이름]&amp;표2[월],0),1)</f>
        <v>14</v>
      </c>
      <c r="V30" s="35" cm="1">
        <f t="array" ref="V30">INDEX(표2[전년도신규고객수],MATCH($B30&amp;V$28,표2[이름]&amp;표2[월],0),1)</f>
        <v>21</v>
      </c>
      <c r="W30" s="36" cm="1">
        <f t="array" ref="W30">INDEX(표2[전년도신규고객수],MATCH($B30&amp;W$28,표2[이름]&amp;표2[월],0),1)</f>
        <v>13</v>
      </c>
      <c r="X30" s="33" cm="1">
        <f t="array" ref="X30">INDEX(표2[고객확보비용],MATCH($B30&amp;X$28,표2[이름]&amp;표2[월],0),1)</f>
        <v>5300</v>
      </c>
      <c r="Y30" s="33" cm="1">
        <f t="array" ref="Y30">INDEX(표2[고객확보비용],MATCH($B30&amp;Y$28,표2[이름]&amp;표2[월],0),1)</f>
        <v>7900</v>
      </c>
      <c r="Z30" s="34" cm="1">
        <f t="array" ref="Z30">INDEX(표2[고객확보비용],MATCH($B30&amp;Z$28,표2[이름]&amp;표2[월],0),1)</f>
        <v>7900</v>
      </c>
      <c r="AA30" s="33">
        <f>X30/R30</f>
        <v>311.76470588235293</v>
      </c>
      <c r="AB30" s="33">
        <f t="shared" ref="AB30:AC34" si="38">Y30/S30</f>
        <v>493.75</v>
      </c>
      <c r="AC30" s="34">
        <f t="shared" si="38"/>
        <v>438.88888888888891</v>
      </c>
      <c r="AD30" s="33" cm="1">
        <f t="array" ref="AD30">INDEX(표2[고객확보비용목표(고객당)],MATCH($B30&amp;AD$28,표2[이름]&amp;표2[월],0),1)</f>
        <v>350</v>
      </c>
      <c r="AE30" s="33" cm="1">
        <f t="array" ref="AE30">INDEX(표2[고객확보비용목표(고객당)],MATCH($B30&amp;AE$28,표2[이름]&amp;표2[월],0),1)</f>
        <v>350</v>
      </c>
      <c r="AF30" s="34" cm="1">
        <f t="array" ref="AF30">INDEX(표2[고객확보비용목표(고객당)],MATCH($B30&amp;AF$28,표2[이름]&amp;표2[월],0),1)</f>
        <v>350</v>
      </c>
      <c r="AG30" s="33" cm="1">
        <f t="array" ref="AG30">INDEX(표2[전년도고객확보비용(고객당)],MATCH($B30&amp;AG$28,표2[이름]&amp;표2[월],0),1)</f>
        <v>410</v>
      </c>
      <c r="AH30" s="33" cm="1">
        <f t="array" ref="AH30">INDEX(표2[전년도고객확보비용(고객당)],MATCH($B30&amp;AH$28,표2[이름]&amp;표2[월],0),1)</f>
        <v>405</v>
      </c>
      <c r="AI30" s="34" cm="1">
        <f t="array" ref="AI30">INDEX(표2[전년도고객확보비용(고객당)],MATCH($B30&amp;AI$28,표2[이름]&amp;표2[월],0),1)</f>
        <v>398</v>
      </c>
      <c r="AJ30" s="33">
        <f>C30/L30</f>
        <v>2235.294117647059</v>
      </c>
      <c r="AK30" s="33">
        <f>D30/M30</f>
        <v>1387.5</v>
      </c>
      <c r="AL30" s="34">
        <f>E30/N30</f>
        <v>2275</v>
      </c>
      <c r="AM30" s="33" cm="1">
        <f t="array" ref="AM30">INDEX(표2[전년도매출액(고객당)],MATCH($B30&amp;AM$28,표2[이름]&amp;표2[월],0),1)</f>
        <v>3100</v>
      </c>
      <c r="AN30" s="33" cm="1">
        <f t="array" ref="AN30">INDEX(표2[전년도매출액(고객당)],MATCH($B30&amp;AN$28,표2[이름]&amp;표2[월],0),1)</f>
        <v>2600</v>
      </c>
      <c r="AO30" s="34" cm="1">
        <f t="array" ref="AO30">INDEX(표2[전년도매출액(고객당)],MATCH($B30&amp;AO$28,표2[이름]&amp;표2[월],0),1)</f>
        <v>2400</v>
      </c>
      <c r="AP30" s="33" cm="1">
        <f t="array" ref="AP30">INDEX(표2[목표매출액(고객당)],MATCH($B30&amp;AP$28,표2[이름]&amp;표2[월],0),1)</f>
        <v>2500</v>
      </c>
      <c r="AQ30" s="33" cm="1">
        <f t="array" ref="AQ30">INDEX(표2[목표매출액(고객당)],MATCH($B30&amp;AQ$28,표2[이름]&amp;표2[월],0),1)</f>
        <v>2600</v>
      </c>
      <c r="AR30" s="37" cm="1">
        <f t="array" ref="AR30">INDEX(표2[목표매출액(고객당)],MATCH($B30&amp;AR$28,표2[이름]&amp;표2[월],0),1)</f>
        <v>2400</v>
      </c>
    </row>
    <row r="31" spans="2:44" x14ac:dyDescent="0.3">
      <c r="B31" s="32" t="s">
        <v>53</v>
      </c>
      <c r="C31" s="33" cm="1">
        <f t="array" ref="C31">INDEX(표2[매출액],MATCH($B31&amp;C$28,표2[이름]&amp;표2[월],0),1)</f>
        <v>159000</v>
      </c>
      <c r="D31" s="33" cm="1">
        <f t="array" ref="D31">INDEX(표2[매출액],MATCH($B31&amp;D$28,표2[이름]&amp;표2[월],0),1)</f>
        <v>147000</v>
      </c>
      <c r="E31" s="34" cm="1">
        <f t="array" ref="E31">INDEX(표2[매출액],MATCH($B31&amp;E$28,표2[이름]&amp;표2[월],0),1)</f>
        <v>126000</v>
      </c>
      <c r="F31" s="33" cm="1">
        <f t="array" ref="F31">INDEX(표2[목표매출액],MATCH($B31&amp;F$28,표2[이름]&amp;표2[월],0),1)</f>
        <v>121000</v>
      </c>
      <c r="G31" s="33" cm="1">
        <f t="array" ref="G31">INDEX(표2[목표매출액],MATCH($B31&amp;G$28,표2[이름]&amp;표2[월],0),1)</f>
        <v>174000</v>
      </c>
      <c r="H31" s="34" cm="1">
        <f t="array" ref="H31">INDEX(표2[목표매출액],MATCH($B31&amp;H$28,표2[이름]&amp;표2[월],0),1)</f>
        <v>102000</v>
      </c>
      <c r="I31" s="33" cm="1">
        <f t="array" ref="I31">INDEX(표2[전년도매출액],MATCH($B31&amp;I$28,표2[이름]&amp;표2[월],0),1)</f>
        <v>126000</v>
      </c>
      <c r="J31" s="33" cm="1">
        <f t="array" ref="J31">INDEX(표2[전년도매출액],MATCH($B31&amp;J$28,표2[이름]&amp;표2[월],0),1)</f>
        <v>117000</v>
      </c>
      <c r="K31" s="34" cm="1">
        <f t="array" ref="K31">INDEX(표2[전년도매출액],MATCH($B31&amp;K$28,표2[이름]&amp;표2[월],0),1)</f>
        <v>194000</v>
      </c>
      <c r="L31" s="35" cm="1">
        <f t="array" ref="L31">INDEX(표2[전체고객수],MATCH($B31&amp;L$28,표2[이름]&amp;표2[월],0),1)</f>
        <v>59</v>
      </c>
      <c r="M31" s="35" cm="1">
        <f t="array" ref="M31">INDEX(표2[전체고객수],MATCH($B31&amp;M$28,표2[이름]&amp;표2[월],0),1)</f>
        <v>39</v>
      </c>
      <c r="N31" s="36" cm="1">
        <f t="array" ref="N31">INDEX(표2[전체고객수],MATCH($B31&amp;N$28,표2[이름]&amp;표2[월],0),1)</f>
        <v>82</v>
      </c>
      <c r="O31" s="35" cm="1">
        <f t="array" ref="O31">INDEX(표2[목표신규고객수],MATCH($B31&amp;O$28,표2[이름]&amp;표2[월],0),1)</f>
        <v>68</v>
      </c>
      <c r="P31" s="35" cm="1">
        <f t="array" ref="P31">INDEX(표2[목표신규고객수],MATCH($B31&amp;P$28,표2[이름]&amp;표2[월],0),1)</f>
        <v>83</v>
      </c>
      <c r="Q31" s="36" cm="1">
        <f t="array" ref="Q31">INDEX(표2[목표신규고객수],MATCH($B31&amp;Q$28,표2[이름]&amp;표2[월],0),1)</f>
        <v>39</v>
      </c>
      <c r="R31" s="35" cm="1">
        <f t="array" ref="R31">INDEX(표2[신규고객수],MATCH($B31&amp;R$28,표2[이름]&amp;표2[월],0),1)</f>
        <v>12</v>
      </c>
      <c r="S31" s="35" cm="1">
        <f t="array" ref="S31">INDEX(표2[신규고객수],MATCH($B31&amp;S$28,표2[이름]&amp;표2[월],0),1)</f>
        <v>10</v>
      </c>
      <c r="T31" s="36" cm="1">
        <f t="array" ref="T31">INDEX(표2[신규고객수],MATCH($B31&amp;T$28,표2[이름]&amp;표2[월],0),1)</f>
        <v>24</v>
      </c>
      <c r="U31" s="35" cm="1">
        <f t="array" ref="U31">INDEX(표2[전년도신규고객수],MATCH($B31&amp;U$28,표2[이름]&amp;표2[월],0),1)</f>
        <v>17</v>
      </c>
      <c r="V31" s="35" cm="1">
        <f t="array" ref="V31">INDEX(표2[전년도신규고객수],MATCH($B31&amp;V$28,표2[이름]&amp;표2[월],0),1)</f>
        <v>23</v>
      </c>
      <c r="W31" s="36" cm="1">
        <f t="array" ref="W31">INDEX(표2[전년도신규고객수],MATCH($B31&amp;W$28,표2[이름]&amp;표2[월],0),1)</f>
        <v>10</v>
      </c>
      <c r="X31" s="33" cm="1">
        <f t="array" ref="X31">INDEX(표2[고객확보비용],MATCH($B31&amp;X$28,표2[이름]&amp;표2[월],0),1)</f>
        <v>9600</v>
      </c>
      <c r="Y31" s="33" cm="1">
        <f t="array" ref="Y31">INDEX(표2[고객확보비용],MATCH($B31&amp;Y$28,표2[이름]&amp;표2[월],0),1)</f>
        <v>7600</v>
      </c>
      <c r="Z31" s="34" cm="1">
        <f t="array" ref="Z31">INDEX(표2[고객확보비용],MATCH($B31&amp;Z$28,표2[이름]&amp;표2[월],0),1)</f>
        <v>5600</v>
      </c>
      <c r="AA31" s="33">
        <f t="shared" ref="AA31:AA34" si="39">X31/R31</f>
        <v>800</v>
      </c>
      <c r="AB31" s="33">
        <f t="shared" si="38"/>
        <v>760</v>
      </c>
      <c r="AC31" s="34">
        <f t="shared" si="38"/>
        <v>233.33333333333334</v>
      </c>
      <c r="AD31" s="33" cm="1">
        <f t="array" ref="AD31">INDEX(표2[고객확보비용목표(고객당)],MATCH($B31&amp;AD$28,표2[이름]&amp;표2[월],0),1)</f>
        <v>350</v>
      </c>
      <c r="AE31" s="33" cm="1">
        <f t="array" ref="AE31">INDEX(표2[고객확보비용목표(고객당)],MATCH($B31&amp;AE$28,표2[이름]&amp;표2[월],0),1)</f>
        <v>350</v>
      </c>
      <c r="AF31" s="34" cm="1">
        <f t="array" ref="AF31">INDEX(표2[고객확보비용목표(고객당)],MATCH($B31&amp;AF$28,표2[이름]&amp;표2[월],0),1)</f>
        <v>350</v>
      </c>
      <c r="AG31" s="33" cm="1">
        <f t="array" ref="AG31">INDEX(표2[전년도고객확보비용(고객당)],MATCH($B31&amp;AG$28,표2[이름]&amp;표2[월],0),1)</f>
        <v>358</v>
      </c>
      <c r="AH31" s="33" cm="1">
        <f t="array" ref="AH31">INDEX(표2[전년도고객확보비용(고객당)],MATCH($B31&amp;AH$28,표2[이름]&amp;표2[월],0),1)</f>
        <v>402</v>
      </c>
      <c r="AI31" s="34" cm="1">
        <f t="array" ref="AI31">INDEX(표2[전년도고객확보비용(고객당)],MATCH($B31&amp;AI$28,표2[이름]&amp;표2[월],0),1)</f>
        <v>409</v>
      </c>
      <c r="AJ31" s="33">
        <f t="shared" ref="AJ31:AJ34" si="40">C31/L31</f>
        <v>2694.9152542372881</v>
      </c>
      <c r="AK31" s="33">
        <f t="shared" ref="AK31:AL34" si="41">D31/M31</f>
        <v>3769.2307692307691</v>
      </c>
      <c r="AL31" s="34">
        <f t="shared" si="41"/>
        <v>1536.5853658536585</v>
      </c>
      <c r="AM31" s="33" cm="1">
        <f t="array" ref="AM31">INDEX(표2[전년도매출액(고객당)],MATCH($B31&amp;AM$28,표2[이름]&amp;표2[월],0),1)</f>
        <v>3200</v>
      </c>
      <c r="AN31" s="33" cm="1">
        <f t="array" ref="AN31">INDEX(표2[전년도매출액(고객당)],MATCH($B31&amp;AN$28,표2[이름]&amp;표2[월],0),1)</f>
        <v>2100</v>
      </c>
      <c r="AO31" s="34" cm="1">
        <f t="array" ref="AO31">INDEX(표2[전년도매출액(고객당)],MATCH($B31&amp;AO$28,표2[이름]&amp;표2[월],0),1)</f>
        <v>2500</v>
      </c>
      <c r="AP31" s="33" cm="1">
        <f t="array" ref="AP31">INDEX(표2[목표매출액(고객당)],MATCH($B31&amp;AP$28,표2[이름]&amp;표2[월],0),1)</f>
        <v>2500</v>
      </c>
      <c r="AQ31" s="33" cm="1">
        <f t="array" ref="AQ31">INDEX(표2[목표매출액(고객당)],MATCH($B31&amp;AQ$28,표2[이름]&amp;표2[월],0),1)</f>
        <v>2600</v>
      </c>
      <c r="AR31" s="37" cm="1">
        <f t="array" ref="AR31">INDEX(표2[목표매출액(고객당)],MATCH($B31&amp;AR$28,표2[이름]&amp;표2[월],0),1)</f>
        <v>2400</v>
      </c>
    </row>
    <row r="32" spans="2:44" x14ac:dyDescent="0.3">
      <c r="B32" s="32" t="s">
        <v>54</v>
      </c>
      <c r="C32" s="33" cm="1">
        <f t="array" ref="C32">INDEX(표2[매출액],MATCH($B32&amp;C$28,표2[이름]&amp;표2[월],0),1)</f>
        <v>145000</v>
      </c>
      <c r="D32" s="33" cm="1">
        <f t="array" ref="D32">INDEX(표2[매출액],MATCH($B32&amp;D$28,표2[이름]&amp;표2[월],0),1)</f>
        <v>181000</v>
      </c>
      <c r="E32" s="34" cm="1">
        <f t="array" ref="E32">INDEX(표2[매출액],MATCH($B32&amp;E$28,표2[이름]&amp;표2[월],0),1)</f>
        <v>124000</v>
      </c>
      <c r="F32" s="33" cm="1">
        <f t="array" ref="F32">INDEX(표2[목표매출액],MATCH($B32&amp;F$28,표2[이름]&amp;표2[월],0),1)</f>
        <v>176000</v>
      </c>
      <c r="G32" s="33" cm="1">
        <f t="array" ref="G32">INDEX(표2[목표매출액],MATCH($B32&amp;G$28,표2[이름]&amp;표2[월],0),1)</f>
        <v>172000</v>
      </c>
      <c r="H32" s="34" cm="1">
        <f t="array" ref="H32">INDEX(표2[목표매출액],MATCH($B32&amp;H$28,표2[이름]&amp;표2[월],0),1)</f>
        <v>182000</v>
      </c>
      <c r="I32" s="33" cm="1">
        <f t="array" ref="I32">INDEX(표2[전년도매출액],MATCH($B32&amp;I$28,표2[이름]&amp;표2[월],0),1)</f>
        <v>140000</v>
      </c>
      <c r="J32" s="33" cm="1">
        <f t="array" ref="J32">INDEX(표2[전년도매출액],MATCH($B32&amp;J$28,표2[이름]&amp;표2[월],0),1)</f>
        <v>122000</v>
      </c>
      <c r="K32" s="34" cm="1">
        <f t="array" ref="K32">INDEX(표2[전년도매출액],MATCH($B32&amp;K$28,표2[이름]&amp;표2[월],0),1)</f>
        <v>149000</v>
      </c>
      <c r="L32" s="35" cm="1">
        <f t="array" ref="L32">INDEX(표2[전체고객수],MATCH($B32&amp;L$28,표2[이름]&amp;표2[월],0),1)</f>
        <v>41</v>
      </c>
      <c r="M32" s="35" cm="1">
        <f t="array" ref="M32">INDEX(표2[전체고객수],MATCH($B32&amp;M$28,표2[이름]&amp;표2[월],0),1)</f>
        <v>84</v>
      </c>
      <c r="N32" s="36" cm="1">
        <f t="array" ref="N32">INDEX(표2[전체고객수],MATCH($B32&amp;N$28,표2[이름]&amp;표2[월],0),1)</f>
        <v>52</v>
      </c>
      <c r="O32" s="35" cm="1">
        <f t="array" ref="O32">INDEX(표2[목표신규고객수],MATCH($B32&amp;O$28,표2[이름]&amp;표2[월],0),1)</f>
        <v>37</v>
      </c>
      <c r="P32" s="35" cm="1">
        <f t="array" ref="P32">INDEX(표2[목표신규고객수],MATCH($B32&amp;P$28,표2[이름]&amp;표2[월],0),1)</f>
        <v>75</v>
      </c>
      <c r="Q32" s="36" cm="1">
        <f t="array" ref="Q32">INDEX(표2[목표신규고객수],MATCH($B32&amp;Q$28,표2[이름]&amp;표2[월],0),1)</f>
        <v>79</v>
      </c>
      <c r="R32" s="35" cm="1">
        <f t="array" ref="R32">INDEX(표2[신규고객수],MATCH($B32&amp;R$28,표2[이름]&amp;표2[월],0),1)</f>
        <v>9</v>
      </c>
      <c r="S32" s="35" cm="1">
        <f t="array" ref="S32">INDEX(표2[신규고객수],MATCH($B32&amp;S$28,표2[이름]&amp;표2[월],0),1)</f>
        <v>24</v>
      </c>
      <c r="T32" s="36" cm="1">
        <f t="array" ref="T32">INDEX(표2[신규고객수],MATCH($B32&amp;T$28,표2[이름]&amp;표2[월],0),1)</f>
        <v>9</v>
      </c>
      <c r="U32" s="35" cm="1">
        <f t="array" ref="U32">INDEX(표2[전년도신규고객수],MATCH($B32&amp;U$28,표2[이름]&amp;표2[월],0),1)</f>
        <v>22</v>
      </c>
      <c r="V32" s="35" cm="1">
        <f t="array" ref="V32">INDEX(표2[전년도신규고객수],MATCH($B32&amp;V$28,표2[이름]&amp;표2[월],0),1)</f>
        <v>19</v>
      </c>
      <c r="W32" s="36" cm="1">
        <f t="array" ref="W32">INDEX(표2[전년도신규고객수],MATCH($B32&amp;W$28,표2[이름]&amp;표2[월],0),1)</f>
        <v>23</v>
      </c>
      <c r="X32" s="33" cm="1">
        <f t="array" ref="X32">INDEX(표2[고객확보비용],MATCH($B32&amp;X$28,표2[이름]&amp;표2[월],0),1)</f>
        <v>6800</v>
      </c>
      <c r="Y32" s="33" cm="1">
        <f t="array" ref="Y32">INDEX(표2[고객확보비용],MATCH($B32&amp;Y$28,표2[이름]&amp;표2[월],0),1)</f>
        <v>7700</v>
      </c>
      <c r="Z32" s="34" cm="1">
        <f t="array" ref="Z32">INDEX(표2[고객확보비용],MATCH($B32&amp;Z$28,표2[이름]&amp;표2[월],0),1)</f>
        <v>5600</v>
      </c>
      <c r="AA32" s="33">
        <f t="shared" si="39"/>
        <v>755.55555555555554</v>
      </c>
      <c r="AB32" s="33">
        <f t="shared" si="38"/>
        <v>320.83333333333331</v>
      </c>
      <c r="AC32" s="34">
        <f t="shared" si="38"/>
        <v>622.22222222222217</v>
      </c>
      <c r="AD32" s="33" cm="1">
        <f t="array" ref="AD32">INDEX(표2[고객확보비용목표(고객당)],MATCH($B32&amp;AD$28,표2[이름]&amp;표2[월],0),1)</f>
        <v>350</v>
      </c>
      <c r="AE32" s="33" cm="1">
        <f t="array" ref="AE32">INDEX(표2[고객확보비용목표(고객당)],MATCH($B32&amp;AE$28,표2[이름]&amp;표2[월],0),1)</f>
        <v>350</v>
      </c>
      <c r="AF32" s="34" cm="1">
        <f t="array" ref="AF32">INDEX(표2[고객확보비용목표(고객당)],MATCH($B32&amp;AF$28,표2[이름]&amp;표2[월],0),1)</f>
        <v>350</v>
      </c>
      <c r="AG32" s="33" cm="1">
        <f t="array" ref="AG32">INDEX(표2[전년도고객확보비용(고객당)],MATCH($B32&amp;AG$28,표2[이름]&amp;표2[월],0),1)</f>
        <v>403</v>
      </c>
      <c r="AH32" s="33" cm="1">
        <f t="array" ref="AH32">INDEX(표2[전년도고객확보비용(고객당)],MATCH($B32&amp;AH$28,표2[이름]&amp;표2[월],0),1)</f>
        <v>399</v>
      </c>
      <c r="AI32" s="34" cm="1">
        <f t="array" ref="AI32">INDEX(표2[전년도고객확보비용(고객당)],MATCH($B32&amp;AI$28,표2[이름]&amp;표2[월],0),1)</f>
        <v>404</v>
      </c>
      <c r="AJ32" s="33">
        <f t="shared" si="40"/>
        <v>3536.5853658536585</v>
      </c>
      <c r="AK32" s="33">
        <f t="shared" si="41"/>
        <v>2154.7619047619046</v>
      </c>
      <c r="AL32" s="34">
        <f t="shared" si="41"/>
        <v>2384.6153846153848</v>
      </c>
      <c r="AM32" s="33" cm="1">
        <f t="array" ref="AM32">INDEX(표2[전년도매출액(고객당)],MATCH($B32&amp;AM$28,표2[이름]&amp;표2[월],0),1)</f>
        <v>2500</v>
      </c>
      <c r="AN32" s="33" cm="1">
        <f t="array" ref="AN32">INDEX(표2[전년도매출액(고객당)],MATCH($B32&amp;AN$28,표2[이름]&amp;표2[월],0),1)</f>
        <v>2100</v>
      </c>
      <c r="AO32" s="34" cm="1">
        <f t="array" ref="AO32">INDEX(표2[전년도매출액(고객당)],MATCH($B32&amp;AO$28,표2[이름]&amp;표2[월],0),1)</f>
        <v>2000</v>
      </c>
      <c r="AP32" s="33" cm="1">
        <f t="array" ref="AP32">INDEX(표2[목표매출액(고객당)],MATCH($B32&amp;AP$28,표2[이름]&amp;표2[월],0),1)</f>
        <v>2500</v>
      </c>
      <c r="AQ32" s="33" cm="1">
        <f t="array" ref="AQ32">INDEX(표2[목표매출액(고객당)],MATCH($B32&amp;AQ$28,표2[이름]&amp;표2[월],0),1)</f>
        <v>2600</v>
      </c>
      <c r="AR32" s="37" cm="1">
        <f t="array" ref="AR32">INDEX(표2[목표매출액(고객당)],MATCH($B32&amp;AR$28,표2[이름]&amp;표2[월],0),1)</f>
        <v>2400</v>
      </c>
    </row>
    <row r="33" spans="2:44" x14ac:dyDescent="0.3">
      <c r="B33" s="32" t="s">
        <v>55</v>
      </c>
      <c r="C33" s="33" cm="1">
        <f t="array" ref="C33">INDEX(표2[매출액],MATCH($B33&amp;C$28,표2[이름]&amp;표2[월],0),1)</f>
        <v>158000</v>
      </c>
      <c r="D33" s="33" cm="1">
        <f t="array" ref="D33">INDEX(표2[매출액],MATCH($B33&amp;D$28,표2[이름]&amp;표2[월],0),1)</f>
        <v>108000</v>
      </c>
      <c r="E33" s="34" cm="1">
        <f t="array" ref="E33">INDEX(표2[매출액],MATCH($B33&amp;E$28,표2[이름]&amp;표2[월],0),1)</f>
        <v>100000</v>
      </c>
      <c r="F33" s="33" cm="1">
        <f t="array" ref="F33">INDEX(표2[목표매출액],MATCH($B33&amp;F$28,표2[이름]&amp;표2[월],0),1)</f>
        <v>186000</v>
      </c>
      <c r="G33" s="33" cm="1">
        <f t="array" ref="G33">INDEX(표2[목표매출액],MATCH($B33&amp;G$28,표2[이름]&amp;표2[월],0),1)</f>
        <v>107000</v>
      </c>
      <c r="H33" s="34" cm="1">
        <f t="array" ref="H33">INDEX(표2[목표매출액],MATCH($B33&amp;H$28,표2[이름]&amp;표2[월],0),1)</f>
        <v>129000</v>
      </c>
      <c r="I33" s="33" cm="1">
        <f t="array" ref="I33">INDEX(표2[전년도매출액],MATCH($B33&amp;I$28,표2[이름]&amp;표2[월],0),1)</f>
        <v>187000</v>
      </c>
      <c r="J33" s="33" cm="1">
        <f t="array" ref="J33">INDEX(표2[전년도매출액],MATCH($B33&amp;J$28,표2[이름]&amp;표2[월],0),1)</f>
        <v>141000</v>
      </c>
      <c r="K33" s="34" cm="1">
        <f t="array" ref="K33">INDEX(표2[전년도매출액],MATCH($B33&amp;K$28,표2[이름]&amp;표2[월],0),1)</f>
        <v>115000</v>
      </c>
      <c r="L33" s="35" cm="1">
        <f t="array" ref="L33">INDEX(표2[전체고객수],MATCH($B33&amp;L$28,표2[이름]&amp;표2[월],0),1)</f>
        <v>63</v>
      </c>
      <c r="M33" s="35" cm="1">
        <f t="array" ref="M33">INDEX(표2[전체고객수],MATCH($B33&amp;M$28,표2[이름]&amp;표2[월],0),1)</f>
        <v>78</v>
      </c>
      <c r="N33" s="36" cm="1">
        <f t="array" ref="N33">INDEX(표2[전체고객수],MATCH($B33&amp;N$28,표2[이름]&amp;표2[월],0),1)</f>
        <v>58</v>
      </c>
      <c r="O33" s="35" cm="1">
        <f t="array" ref="O33">INDEX(표2[목표신규고객수],MATCH($B33&amp;O$28,표2[이름]&amp;표2[월],0),1)</f>
        <v>54</v>
      </c>
      <c r="P33" s="35" cm="1">
        <f t="array" ref="P33">INDEX(표2[목표신규고객수],MATCH($B33&amp;P$28,표2[이름]&amp;표2[월],0),1)</f>
        <v>46</v>
      </c>
      <c r="Q33" s="36" cm="1">
        <f t="array" ref="Q33">INDEX(표2[목표신규고객수],MATCH($B33&amp;Q$28,표2[이름]&amp;표2[월],0),1)</f>
        <v>47</v>
      </c>
      <c r="R33" s="35" cm="1">
        <f t="array" ref="R33">INDEX(표2[신규고객수],MATCH($B33&amp;R$28,표2[이름]&amp;표2[월],0),1)</f>
        <v>9</v>
      </c>
      <c r="S33" s="35" cm="1">
        <f t="array" ref="S33">INDEX(표2[신규고객수],MATCH($B33&amp;S$28,표2[이름]&amp;표2[월],0),1)</f>
        <v>8</v>
      </c>
      <c r="T33" s="36" cm="1">
        <f t="array" ref="T33">INDEX(표2[신규고객수],MATCH($B33&amp;T$28,표2[이름]&amp;표2[월],0),1)</f>
        <v>12</v>
      </c>
      <c r="U33" s="35" cm="1">
        <f t="array" ref="U33">INDEX(표2[전년도신규고객수],MATCH($B33&amp;U$28,표2[이름]&amp;표2[월],0),1)</f>
        <v>12</v>
      </c>
      <c r="V33" s="35" cm="1">
        <f t="array" ref="V33">INDEX(표2[전년도신규고객수],MATCH($B33&amp;V$28,표2[이름]&amp;표2[월],0),1)</f>
        <v>12</v>
      </c>
      <c r="W33" s="36" cm="1">
        <f t="array" ref="W33">INDEX(표2[전년도신규고객수],MATCH($B33&amp;W$28,표2[이름]&amp;표2[월],0),1)</f>
        <v>13</v>
      </c>
      <c r="X33" s="33" cm="1">
        <f t="array" ref="X33">INDEX(표2[고객확보비용],MATCH($B33&amp;X$28,표2[이름]&amp;표2[월],0),1)</f>
        <v>5800</v>
      </c>
      <c r="Y33" s="33" cm="1">
        <f t="array" ref="Y33">INDEX(표2[고객확보비용],MATCH($B33&amp;Y$28,표2[이름]&amp;표2[월],0),1)</f>
        <v>9100</v>
      </c>
      <c r="Z33" s="34" cm="1">
        <f t="array" ref="Z33">INDEX(표2[고객확보비용],MATCH($B33&amp;Z$28,표2[이름]&amp;표2[월],0),1)</f>
        <v>7300</v>
      </c>
      <c r="AA33" s="33">
        <f t="shared" si="39"/>
        <v>644.44444444444446</v>
      </c>
      <c r="AB33" s="33">
        <f t="shared" si="38"/>
        <v>1137.5</v>
      </c>
      <c r="AC33" s="34">
        <f t="shared" si="38"/>
        <v>608.33333333333337</v>
      </c>
      <c r="AD33" s="33" cm="1">
        <f t="array" ref="AD33">INDEX(표2[고객확보비용목표(고객당)],MATCH($B33&amp;AD$28,표2[이름]&amp;표2[월],0),1)</f>
        <v>350</v>
      </c>
      <c r="AE33" s="33" cm="1">
        <f t="array" ref="AE33">INDEX(표2[고객확보비용목표(고객당)],MATCH($B33&amp;AE$28,표2[이름]&amp;표2[월],0),1)</f>
        <v>350</v>
      </c>
      <c r="AF33" s="34" cm="1">
        <f t="array" ref="AF33">INDEX(표2[고객확보비용목표(고객당)],MATCH($B33&amp;AF$28,표2[이름]&amp;표2[월],0),1)</f>
        <v>350</v>
      </c>
      <c r="AG33" s="33" cm="1">
        <f t="array" ref="AG33">INDEX(표2[전년도고객확보비용(고객당)],MATCH($B33&amp;AG$28,표2[이름]&amp;표2[월],0),1)</f>
        <v>392</v>
      </c>
      <c r="AH33" s="33" cm="1">
        <f t="array" ref="AH33">INDEX(표2[전년도고객확보비용(고객당)],MATCH($B33&amp;AH$28,표2[이름]&amp;표2[월],0),1)</f>
        <v>372</v>
      </c>
      <c r="AI33" s="34" cm="1">
        <f t="array" ref="AI33">INDEX(표2[전년도고객확보비용(고객당)],MATCH($B33&amp;AI$28,표2[이름]&amp;표2[월],0),1)</f>
        <v>375</v>
      </c>
      <c r="AJ33" s="33">
        <f t="shared" si="40"/>
        <v>2507.936507936508</v>
      </c>
      <c r="AK33" s="33">
        <f t="shared" si="41"/>
        <v>1384.6153846153845</v>
      </c>
      <c r="AL33" s="34">
        <f t="shared" si="41"/>
        <v>1724.1379310344828</v>
      </c>
      <c r="AM33" s="33" cm="1">
        <f t="array" ref="AM33">INDEX(표2[전년도매출액(고객당)],MATCH($B33&amp;AM$28,표2[이름]&amp;표2[월],0),1)</f>
        <v>3300</v>
      </c>
      <c r="AN33" s="33" cm="1">
        <f t="array" ref="AN33">INDEX(표2[전년도매출액(고객당)],MATCH($B33&amp;AN$28,표2[이름]&amp;표2[월],0),1)</f>
        <v>2700</v>
      </c>
      <c r="AO33" s="34" cm="1">
        <f t="array" ref="AO33">INDEX(표2[전년도매출액(고객당)],MATCH($B33&amp;AO$28,표2[이름]&amp;표2[월],0),1)</f>
        <v>2200</v>
      </c>
      <c r="AP33" s="33" cm="1">
        <f t="array" ref="AP33">INDEX(표2[목표매출액(고객당)],MATCH($B33&amp;AP$28,표2[이름]&amp;표2[월],0),1)</f>
        <v>2500</v>
      </c>
      <c r="AQ33" s="33" cm="1">
        <f t="array" ref="AQ33">INDEX(표2[목표매출액(고객당)],MATCH($B33&amp;AQ$28,표2[이름]&amp;표2[월],0),1)</f>
        <v>2600</v>
      </c>
      <c r="AR33" s="37" cm="1">
        <f t="array" ref="AR33">INDEX(표2[목표매출액(고객당)],MATCH($B33&amp;AR$28,표2[이름]&amp;표2[월],0),1)</f>
        <v>2400</v>
      </c>
    </row>
    <row r="34" spans="2:44" x14ac:dyDescent="0.3">
      <c r="B34" s="32" t="s">
        <v>56</v>
      </c>
      <c r="C34" s="33" cm="1">
        <f t="array" ref="C34">INDEX(표2[매출액],MATCH($B34&amp;C$28,표2[이름]&amp;표2[월],0),1)</f>
        <v>163000</v>
      </c>
      <c r="D34" s="33" cm="1">
        <f t="array" ref="D34">INDEX(표2[매출액],MATCH($B34&amp;D$28,표2[이름]&amp;표2[월],0),1)</f>
        <v>182000</v>
      </c>
      <c r="E34" s="34" cm="1">
        <f t="array" ref="E34">INDEX(표2[매출액],MATCH($B34&amp;E$28,표2[이름]&amp;표2[월],0),1)</f>
        <v>135000</v>
      </c>
      <c r="F34" s="33" cm="1">
        <f t="array" ref="F34">INDEX(표2[목표매출액],MATCH($B34&amp;F$28,표2[이름]&amp;표2[월],0),1)</f>
        <v>171000</v>
      </c>
      <c r="G34" s="33" cm="1">
        <f t="array" ref="G34">INDEX(표2[목표매출액],MATCH($B34&amp;G$28,표2[이름]&amp;표2[월],0),1)</f>
        <v>108000</v>
      </c>
      <c r="H34" s="34" cm="1">
        <f t="array" ref="H34">INDEX(표2[목표매출액],MATCH($B34&amp;H$28,표2[이름]&amp;표2[월],0),1)</f>
        <v>184000</v>
      </c>
      <c r="I34" s="33" cm="1">
        <f t="array" ref="I34">INDEX(표2[전년도매출액],MATCH($B34&amp;I$28,표2[이름]&amp;표2[월],0),1)</f>
        <v>166000</v>
      </c>
      <c r="J34" s="33" cm="1">
        <f t="array" ref="J34">INDEX(표2[전년도매출액],MATCH($B34&amp;J$28,표2[이름]&amp;표2[월],0),1)</f>
        <v>153000</v>
      </c>
      <c r="K34" s="34" cm="1">
        <f t="array" ref="K34">INDEX(표2[전년도매출액],MATCH($B34&amp;K$28,표2[이름]&amp;표2[월],0),1)</f>
        <v>137000</v>
      </c>
      <c r="L34" s="35" cm="1">
        <f t="array" ref="L34">INDEX(표2[전체고객수],MATCH($B34&amp;L$28,표2[이름]&amp;표2[월],0),1)</f>
        <v>66</v>
      </c>
      <c r="M34" s="35" cm="1">
        <f t="array" ref="M34">INDEX(표2[전체고객수],MATCH($B34&amp;M$28,표2[이름]&amp;표2[월],0),1)</f>
        <v>75</v>
      </c>
      <c r="N34" s="36" cm="1">
        <f t="array" ref="N34">INDEX(표2[전체고객수],MATCH($B34&amp;N$28,표2[이름]&amp;표2[월],0),1)</f>
        <v>53</v>
      </c>
      <c r="O34" s="35" cm="1">
        <f t="array" ref="O34">INDEX(표2[목표신규고객수],MATCH($B34&amp;O$28,표2[이름]&amp;표2[월],0),1)</f>
        <v>82</v>
      </c>
      <c r="P34" s="35" cm="1">
        <f t="array" ref="P34">INDEX(표2[목표신규고객수],MATCH($B34&amp;P$28,표2[이름]&amp;표2[월],0),1)</f>
        <v>82</v>
      </c>
      <c r="Q34" s="36" cm="1">
        <f t="array" ref="Q34">INDEX(표2[목표신규고객수],MATCH($B34&amp;Q$28,표2[이름]&amp;표2[월],0),1)</f>
        <v>58</v>
      </c>
      <c r="R34" s="35" cm="1">
        <f t="array" ref="R34">INDEX(표2[신규고객수],MATCH($B34&amp;R$28,표2[이름]&amp;표2[월],0),1)</f>
        <v>19</v>
      </c>
      <c r="S34" s="35" cm="1">
        <f t="array" ref="S34">INDEX(표2[신규고객수],MATCH($B34&amp;S$28,표2[이름]&amp;표2[월],0),1)</f>
        <v>17</v>
      </c>
      <c r="T34" s="36" cm="1">
        <f t="array" ref="T34">INDEX(표2[신규고객수],MATCH($B34&amp;T$28,표2[이름]&amp;표2[월],0),1)</f>
        <v>5</v>
      </c>
      <c r="U34" s="35" cm="1">
        <f t="array" ref="U34">INDEX(표2[전년도신규고객수],MATCH($B34&amp;U$28,표2[이름]&amp;표2[월],0),1)</f>
        <v>24</v>
      </c>
      <c r="V34" s="35" cm="1">
        <f t="array" ref="V34">INDEX(표2[전년도신규고객수],MATCH($B34&amp;V$28,표2[이름]&amp;표2[월],0),1)</f>
        <v>11</v>
      </c>
      <c r="W34" s="36" cm="1">
        <f t="array" ref="W34">INDEX(표2[전년도신규고객수],MATCH($B34&amp;W$28,표2[이름]&amp;표2[월],0),1)</f>
        <v>24</v>
      </c>
      <c r="X34" s="33" cm="1">
        <f t="array" ref="X34">INDEX(표2[고객확보비용],MATCH($B34&amp;X$28,표2[이름]&amp;표2[월],0),1)</f>
        <v>5200</v>
      </c>
      <c r="Y34" s="33" cm="1">
        <f t="array" ref="Y34">INDEX(표2[고객확보비용],MATCH($B34&amp;Y$28,표2[이름]&amp;표2[월],0),1)</f>
        <v>8900</v>
      </c>
      <c r="Z34" s="34" cm="1">
        <f t="array" ref="Z34">INDEX(표2[고객확보비용],MATCH($B34&amp;Z$28,표2[이름]&amp;표2[월],0),1)</f>
        <v>6800</v>
      </c>
      <c r="AA34" s="33">
        <f t="shared" si="39"/>
        <v>273.68421052631578</v>
      </c>
      <c r="AB34" s="33">
        <f t="shared" si="38"/>
        <v>523.52941176470586</v>
      </c>
      <c r="AC34" s="34">
        <f t="shared" si="38"/>
        <v>1360</v>
      </c>
      <c r="AD34" s="33" cm="1">
        <f t="array" ref="AD34">INDEX(표2[고객확보비용목표(고객당)],MATCH($B34&amp;AD$28,표2[이름]&amp;표2[월],0),1)</f>
        <v>350</v>
      </c>
      <c r="AE34" s="33" cm="1">
        <f t="array" ref="AE34">INDEX(표2[고객확보비용목표(고객당)],MATCH($B34&amp;AE$28,표2[이름]&amp;표2[월],0),1)</f>
        <v>350</v>
      </c>
      <c r="AF34" s="34" cm="1">
        <f t="array" ref="AF34">INDEX(표2[고객확보비용목표(고객당)],MATCH($B34&amp;AF$28,표2[이름]&amp;표2[월],0),1)</f>
        <v>350</v>
      </c>
      <c r="AG34" s="33" cm="1">
        <f t="array" ref="AG34">INDEX(표2[전년도고객확보비용(고객당)],MATCH($B34&amp;AG$28,표2[이름]&amp;표2[월],0),1)</f>
        <v>370</v>
      </c>
      <c r="AH34" s="33" cm="1">
        <f t="array" ref="AH34">INDEX(표2[전년도고객확보비용(고객당)],MATCH($B34&amp;AH$28,표2[이름]&amp;표2[월],0),1)</f>
        <v>375</v>
      </c>
      <c r="AI34" s="34" cm="1">
        <f t="array" ref="AI34">INDEX(표2[전년도고객확보비용(고객당)],MATCH($B34&amp;AI$28,표2[이름]&amp;표2[월],0),1)</f>
        <v>353</v>
      </c>
      <c r="AJ34" s="33">
        <f t="shared" si="40"/>
        <v>2469.6969696969695</v>
      </c>
      <c r="AK34" s="33">
        <f t="shared" si="41"/>
        <v>2426.6666666666665</v>
      </c>
      <c r="AL34" s="34">
        <f t="shared" si="41"/>
        <v>2547.1698113207549</v>
      </c>
      <c r="AM34" s="33" cm="1">
        <f t="array" ref="AM34">INDEX(표2[전년도매출액(고객당)],MATCH($B34&amp;AM$28,표2[이름]&amp;표2[월],0),1)</f>
        <v>2300</v>
      </c>
      <c r="AN34" s="33" cm="1">
        <f t="array" ref="AN34">INDEX(표2[전년도매출액(고객당)],MATCH($B34&amp;AN$28,표2[이름]&amp;표2[월],0),1)</f>
        <v>3100</v>
      </c>
      <c r="AO34" s="34" cm="1">
        <f t="array" ref="AO34">INDEX(표2[전년도매출액(고객당)],MATCH($B34&amp;AO$28,표2[이름]&amp;표2[월],0),1)</f>
        <v>3100</v>
      </c>
      <c r="AP34" s="33" cm="1">
        <f t="array" ref="AP34">INDEX(표2[목표매출액(고객당)],MATCH($B34&amp;AP$28,표2[이름]&amp;표2[월],0),1)</f>
        <v>2500</v>
      </c>
      <c r="AQ34" s="33" cm="1">
        <f t="array" ref="AQ34">INDEX(표2[목표매출액(고객당)],MATCH($B34&amp;AQ$28,표2[이름]&amp;표2[월],0),1)</f>
        <v>2600</v>
      </c>
      <c r="AR34" s="37" cm="1">
        <f t="array" ref="AR34">INDEX(표2[목표매출액(고객당)],MATCH($B34&amp;AR$28,표2[이름]&amp;표2[월],0),1)</f>
        <v>2400</v>
      </c>
    </row>
    <row r="35" spans="2:44" ht="19.149999999999999" customHeight="1" thickBot="1" x14ac:dyDescent="0.35">
      <c r="B35" s="64" t="s">
        <v>57</v>
      </c>
      <c r="C35" s="65">
        <f>SUM(C30:C34)</f>
        <v>777000</v>
      </c>
      <c r="D35" s="65">
        <f t="shared" ref="D35:E35" si="42">SUM(D30:D34)</f>
        <v>729000</v>
      </c>
      <c r="E35" s="66">
        <f t="shared" si="42"/>
        <v>667000</v>
      </c>
      <c r="F35" s="65">
        <f t="shared" ref="F35:X35" si="43">SUM(F30:F34)</f>
        <v>847000</v>
      </c>
      <c r="G35" s="65">
        <f t="shared" ref="G35" si="44">SUM(G30:G34)</f>
        <v>705000</v>
      </c>
      <c r="H35" s="66">
        <f t="shared" ref="H35" si="45">SUM(H30:H34)</f>
        <v>766000</v>
      </c>
      <c r="I35" s="65">
        <f t="shared" si="43"/>
        <v>772000</v>
      </c>
      <c r="J35" s="65">
        <f t="shared" ref="J35" si="46">SUM(J30:J34)</f>
        <v>665000</v>
      </c>
      <c r="K35" s="66">
        <f t="shared" ref="K35" si="47">SUM(K30:K34)</f>
        <v>759000</v>
      </c>
      <c r="L35" s="67">
        <f t="shared" si="43"/>
        <v>297</v>
      </c>
      <c r="M35" s="67">
        <f t="shared" ref="M35" si="48">SUM(M30:M34)</f>
        <v>356</v>
      </c>
      <c r="N35" s="68">
        <f t="shared" ref="N35" si="49">SUM(N30:N34)</f>
        <v>325</v>
      </c>
      <c r="O35" s="67">
        <f t="shared" ref="O35" si="50">SUM(O30:O34)</f>
        <v>281</v>
      </c>
      <c r="P35" s="67">
        <f t="shared" ref="P35" si="51">SUM(P30:P34)</f>
        <v>319</v>
      </c>
      <c r="Q35" s="68">
        <f t="shared" ref="Q35" si="52">SUM(Q30:Q34)</f>
        <v>260</v>
      </c>
      <c r="R35" s="67">
        <f t="shared" si="43"/>
        <v>66</v>
      </c>
      <c r="S35" s="67">
        <f t="shared" ref="S35" si="53">SUM(S30:S34)</f>
        <v>75</v>
      </c>
      <c r="T35" s="68">
        <f t="shared" ref="T35" si="54">SUM(T30:T34)</f>
        <v>68</v>
      </c>
      <c r="U35" s="67">
        <f t="shared" si="43"/>
        <v>89</v>
      </c>
      <c r="V35" s="67">
        <f t="shared" ref="V35" si="55">SUM(V30:V34)</f>
        <v>86</v>
      </c>
      <c r="W35" s="68">
        <f t="shared" ref="W35" si="56">SUM(W30:W34)</f>
        <v>83</v>
      </c>
      <c r="X35" s="65">
        <f t="shared" si="43"/>
        <v>32700</v>
      </c>
      <c r="Y35" s="65">
        <f t="shared" ref="Y35" si="57">SUM(Y30:Y34)</f>
        <v>41200</v>
      </c>
      <c r="Z35" s="66">
        <f t="shared" ref="Z35" si="58">SUM(Z30:Z34)</f>
        <v>33200</v>
      </c>
      <c r="AA35" s="65">
        <f t="shared" ref="AA35:AC35" si="59">AVERAGE(AA30:AA34)</f>
        <v>557.08978328173373</v>
      </c>
      <c r="AB35" s="65">
        <f t="shared" si="59"/>
        <v>647.12254901960773</v>
      </c>
      <c r="AC35" s="66">
        <f t="shared" si="59"/>
        <v>652.55555555555554</v>
      </c>
      <c r="AD35" s="65">
        <f t="shared" ref="AD35" si="60">AVERAGE(AD30:AD34)</f>
        <v>350</v>
      </c>
      <c r="AE35" s="65">
        <f t="shared" ref="AE35" si="61">AVERAGE(AE30:AE34)</f>
        <v>350</v>
      </c>
      <c r="AF35" s="66">
        <f t="shared" ref="AF35" si="62">AVERAGE(AF30:AF34)</f>
        <v>350</v>
      </c>
      <c r="AG35" s="65">
        <f t="shared" ref="AG35" si="63">AVERAGE(AG30:AG34)</f>
        <v>386.6</v>
      </c>
      <c r="AH35" s="65">
        <f t="shared" ref="AH35" si="64">AVERAGE(AH30:AH34)</f>
        <v>390.6</v>
      </c>
      <c r="AI35" s="66">
        <f t="shared" ref="AI35" si="65">AVERAGE(AI30:AI34)</f>
        <v>387.8</v>
      </c>
      <c r="AJ35" s="65">
        <f>AVERAGE(AJ30:AJ34)</f>
        <v>2688.8856430742967</v>
      </c>
      <c r="AK35" s="65">
        <f t="shared" ref="AK35:AL35" si="66">AVERAGE(AK30:AK34)</f>
        <v>2224.5549450549452</v>
      </c>
      <c r="AL35" s="66">
        <f t="shared" si="66"/>
        <v>2093.5016985648558</v>
      </c>
      <c r="AM35" s="65">
        <f>AVERAGE(AM30:AM34)</f>
        <v>2880</v>
      </c>
      <c r="AN35" s="65">
        <f t="shared" ref="AN35" si="67">AVERAGE(AN30:AN34)</f>
        <v>2520</v>
      </c>
      <c r="AO35" s="66">
        <f t="shared" ref="AO35" si="68">AVERAGE(AO30:AO34)</f>
        <v>2440</v>
      </c>
      <c r="AP35" s="65">
        <f>AVERAGE(AP30:AP34)</f>
        <v>2500</v>
      </c>
      <c r="AQ35" s="65">
        <f t="shared" ref="AQ35" si="69">AVERAGE(AQ30:AQ34)</f>
        <v>2600</v>
      </c>
      <c r="AR35" s="69">
        <f t="shared" ref="AR35" si="70">AVERAGE(AR30:AR34)</f>
        <v>2400</v>
      </c>
    </row>
    <row r="36" spans="2:44" ht="23.45" customHeight="1" thickBot="1" x14ac:dyDescent="0.35"/>
    <row r="37" spans="2:44" ht="6.6" customHeight="1" x14ac:dyDescent="0.3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50"/>
    </row>
    <row r="38" spans="2:44" ht="26.25" x14ac:dyDescent="0.3">
      <c r="B38" s="51"/>
      <c r="C38" s="72" t="str">
        <f>H2</f>
        <v>Q2 2023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4"/>
      <c r="AR38" s="75"/>
    </row>
    <row r="39" spans="2:44" ht="15.6" customHeight="1" x14ac:dyDescent="0.3">
      <c r="B39" s="52"/>
      <c r="C39" s="53" t="s">
        <v>39</v>
      </c>
      <c r="D39" s="53" t="s">
        <v>40</v>
      </c>
      <c r="E39" s="54" t="s">
        <v>41</v>
      </c>
      <c r="F39" s="53" t="s">
        <v>39</v>
      </c>
      <c r="G39" s="53" t="s">
        <v>40</v>
      </c>
      <c r="H39" s="54" t="s">
        <v>41</v>
      </c>
      <c r="I39" s="53" t="s">
        <v>39</v>
      </c>
      <c r="J39" s="53" t="s">
        <v>40</v>
      </c>
      <c r="K39" s="54" t="s">
        <v>41</v>
      </c>
      <c r="L39" s="53" t="s">
        <v>39</v>
      </c>
      <c r="M39" s="53" t="s">
        <v>40</v>
      </c>
      <c r="N39" s="54" t="s">
        <v>41</v>
      </c>
      <c r="O39" s="53" t="s">
        <v>39</v>
      </c>
      <c r="P39" s="53" t="s">
        <v>40</v>
      </c>
      <c r="Q39" s="54" t="s">
        <v>41</v>
      </c>
      <c r="R39" s="53" t="s">
        <v>39</v>
      </c>
      <c r="S39" s="53" t="s">
        <v>40</v>
      </c>
      <c r="T39" s="54" t="s">
        <v>41</v>
      </c>
      <c r="U39" s="53" t="s">
        <v>39</v>
      </c>
      <c r="V39" s="53" t="s">
        <v>40</v>
      </c>
      <c r="W39" s="54" t="s">
        <v>41</v>
      </c>
      <c r="X39" s="53" t="s">
        <v>39</v>
      </c>
      <c r="Y39" s="53" t="s">
        <v>40</v>
      </c>
      <c r="Z39" s="54" t="s">
        <v>41</v>
      </c>
      <c r="AA39" s="53" t="s">
        <v>39</v>
      </c>
      <c r="AB39" s="53" t="s">
        <v>40</v>
      </c>
      <c r="AC39" s="55" t="s">
        <v>41</v>
      </c>
      <c r="AD39" s="53" t="s">
        <v>39</v>
      </c>
      <c r="AE39" s="53" t="s">
        <v>40</v>
      </c>
      <c r="AF39" s="55" t="s">
        <v>41</v>
      </c>
      <c r="AG39" s="53" t="s">
        <v>39</v>
      </c>
      <c r="AH39" s="53" t="s">
        <v>40</v>
      </c>
      <c r="AI39" s="55" t="s">
        <v>41</v>
      </c>
      <c r="AJ39" s="53" t="s">
        <v>39</v>
      </c>
      <c r="AK39" s="53" t="s">
        <v>40</v>
      </c>
      <c r="AL39" s="54" t="s">
        <v>41</v>
      </c>
      <c r="AM39" s="53" t="s">
        <v>39</v>
      </c>
      <c r="AN39" s="53" t="s">
        <v>40</v>
      </c>
      <c r="AO39" s="54" t="s">
        <v>41</v>
      </c>
      <c r="AP39" s="53" t="s">
        <v>39</v>
      </c>
      <c r="AQ39" s="56" t="s">
        <v>40</v>
      </c>
      <c r="AR39" s="57" t="s">
        <v>41</v>
      </c>
    </row>
    <row r="40" spans="2:44" ht="51" customHeight="1" x14ac:dyDescent="0.3">
      <c r="B40" s="51"/>
      <c r="C40" s="58" t="s">
        <v>20</v>
      </c>
      <c r="D40" s="58" t="s">
        <v>20</v>
      </c>
      <c r="E40" s="59" t="s">
        <v>20</v>
      </c>
      <c r="F40" s="58" t="s">
        <v>21</v>
      </c>
      <c r="G40" s="58" t="s">
        <v>21</v>
      </c>
      <c r="H40" s="59" t="s">
        <v>21</v>
      </c>
      <c r="I40" s="60" t="s">
        <v>22</v>
      </c>
      <c r="J40" s="60" t="s">
        <v>22</v>
      </c>
      <c r="K40" s="61" t="s">
        <v>22</v>
      </c>
      <c r="L40" s="60" t="s">
        <v>58</v>
      </c>
      <c r="M40" s="60" t="s">
        <v>58</v>
      </c>
      <c r="N40" s="61" t="s">
        <v>58</v>
      </c>
      <c r="O40" s="60" t="s">
        <v>60</v>
      </c>
      <c r="P40" s="60" t="s">
        <v>60</v>
      </c>
      <c r="Q40" s="60" t="s">
        <v>60</v>
      </c>
      <c r="R40" s="62" t="s">
        <v>23</v>
      </c>
      <c r="S40" s="60" t="s">
        <v>23</v>
      </c>
      <c r="T40" s="61" t="s">
        <v>23</v>
      </c>
      <c r="U40" s="60" t="s">
        <v>24</v>
      </c>
      <c r="V40" s="60" t="s">
        <v>24</v>
      </c>
      <c r="W40" s="61" t="s">
        <v>24</v>
      </c>
      <c r="X40" s="60" t="s">
        <v>7</v>
      </c>
      <c r="Y40" s="60" t="s">
        <v>7</v>
      </c>
      <c r="Z40" s="61" t="s">
        <v>7</v>
      </c>
      <c r="AA40" s="60" t="s">
        <v>26</v>
      </c>
      <c r="AB40" s="60" t="s">
        <v>26</v>
      </c>
      <c r="AC40" s="61" t="s">
        <v>26</v>
      </c>
      <c r="AD40" s="60" t="s">
        <v>29</v>
      </c>
      <c r="AE40" s="60" t="s">
        <v>29</v>
      </c>
      <c r="AF40" s="60" t="s">
        <v>29</v>
      </c>
      <c r="AG40" s="62" t="s">
        <v>74</v>
      </c>
      <c r="AH40" s="60" t="s">
        <v>74</v>
      </c>
      <c r="AI40" s="61" t="s">
        <v>74</v>
      </c>
      <c r="AJ40" s="60" t="s">
        <v>31</v>
      </c>
      <c r="AK40" s="60" t="s">
        <v>31</v>
      </c>
      <c r="AL40" s="61" t="s">
        <v>30</v>
      </c>
      <c r="AM40" s="60" t="s">
        <v>32</v>
      </c>
      <c r="AN40" s="60" t="s">
        <v>32</v>
      </c>
      <c r="AO40" s="61" t="s">
        <v>32</v>
      </c>
      <c r="AP40" s="60" t="s">
        <v>34</v>
      </c>
      <c r="AQ40" s="60" t="s">
        <v>34</v>
      </c>
      <c r="AR40" s="63" t="s">
        <v>34</v>
      </c>
    </row>
    <row r="41" spans="2:44" x14ac:dyDescent="0.3">
      <c r="B41" s="32" t="s">
        <v>52</v>
      </c>
      <c r="C41" s="33" cm="1">
        <f t="array" ref="C41">INDEX(표2[매출액],MATCH($B41&amp;C$39,표2[이름]&amp;표2[월],0),1)</f>
        <v>104000</v>
      </c>
      <c r="D41" s="33" cm="1">
        <f t="array" ref="D41">INDEX(표2[매출액],MATCH($B41&amp;D$39,표2[이름]&amp;표2[월],0),1)</f>
        <v>190000</v>
      </c>
      <c r="E41" s="34" cm="1">
        <f t="array" ref="E41">INDEX(표2[매출액],MATCH($B41&amp;E$39,표2[이름]&amp;표2[월],0),1)</f>
        <v>121000</v>
      </c>
      <c r="F41" s="33" cm="1">
        <f t="array" ref="F41">INDEX(표2[목표매출액],MATCH($B41&amp;F$39,표2[이름]&amp;표2[월],0),1)</f>
        <v>126000</v>
      </c>
      <c r="G41" s="33" cm="1">
        <f t="array" ref="G41">INDEX(표2[목표매출액],MATCH($B41&amp;G$39,표2[이름]&amp;표2[월],0),1)</f>
        <v>128000</v>
      </c>
      <c r="H41" s="34" cm="1">
        <f t="array" ref="H41">INDEX(표2[목표매출액],MATCH($B41&amp;H$39,표2[이름]&amp;표2[월],0),1)</f>
        <v>196000</v>
      </c>
      <c r="I41" s="33" cm="1">
        <f t="array" ref="I41">INDEX(표2[전년도매출액],MATCH($B41&amp;I$39,표2[이름]&amp;표2[월],0),1)</f>
        <v>115000</v>
      </c>
      <c r="J41" s="33" cm="1">
        <f t="array" ref="J41">INDEX(표2[전년도매출액],MATCH($B41&amp;J$39,표2[이름]&amp;표2[월],0),1)</f>
        <v>119000</v>
      </c>
      <c r="K41" s="34" cm="1">
        <f t="array" ref="K41">INDEX(표2[전년도매출액],MATCH($B41&amp;K$39,표2[이름]&amp;표2[월],0),1)</f>
        <v>124000</v>
      </c>
      <c r="L41" s="35" cm="1">
        <f t="array" ref="L41">INDEX(표2[전체고객수],MATCH($B41&amp;L$39,표2[이름]&amp;표2[월],0),1)</f>
        <v>68</v>
      </c>
      <c r="M41" s="35" cm="1">
        <f t="array" ref="M41">INDEX(표2[전체고객수],MATCH($B41&amp;M$39,표2[이름]&amp;표2[월],0),1)</f>
        <v>78</v>
      </c>
      <c r="N41" s="36" cm="1">
        <f t="array" ref="N41">INDEX(표2[전체고객수],MATCH($B41&amp;N$39,표2[이름]&amp;표2[월],0),1)</f>
        <v>80</v>
      </c>
      <c r="O41" s="35" cm="1">
        <f t="array" ref="O41">INDEX(표2[목표신규고객수],MATCH($B41&amp;O$39,표2[이름]&amp;표2[월],0),1)</f>
        <v>75</v>
      </c>
      <c r="P41" s="35" cm="1">
        <f t="array" ref="P41">INDEX(표2[목표신규고객수],MATCH($B41&amp;P$39,표2[이름]&amp;표2[월],0),1)</f>
        <v>78</v>
      </c>
      <c r="Q41" s="36" cm="1">
        <f t="array" ref="Q41">INDEX(표2[목표신규고객수],MATCH($B41&amp;Q$39,표2[이름]&amp;표2[월],0),1)</f>
        <v>69</v>
      </c>
      <c r="R41" s="35" cm="1">
        <f t="array" ref="R41">INDEX(표2[신규고객수],MATCH($B41&amp;R$39,표2[이름]&amp;표2[월],0),1)</f>
        <v>18</v>
      </c>
      <c r="S41" s="35" cm="1">
        <f t="array" ref="S41">INDEX(표2[신규고객수],MATCH($B41&amp;S$39,표2[이름]&amp;표2[월],0),1)</f>
        <v>21</v>
      </c>
      <c r="T41" s="36" cm="1">
        <f t="array" ref="T41">INDEX(표2[신규고객수],MATCH($B41&amp;T$39,표2[이름]&amp;표2[월],0),1)</f>
        <v>14</v>
      </c>
      <c r="U41" s="35" cm="1">
        <f t="array" ref="U41">INDEX(표2[전년도신규고객수],MATCH($B41&amp;U$39,표2[이름]&amp;표2[월],0),1)</f>
        <v>9</v>
      </c>
      <c r="V41" s="35" cm="1">
        <f t="array" ref="V41">INDEX(표2[전년도신규고객수],MATCH($B41&amp;V$39,표2[이름]&amp;표2[월],0),1)</f>
        <v>23</v>
      </c>
      <c r="W41" s="36" cm="1">
        <f t="array" ref="W41">INDEX(표2[전년도신규고객수],MATCH($B41&amp;W$39,표2[이름]&amp;표2[월],0),1)</f>
        <v>14</v>
      </c>
      <c r="X41" s="33" cm="1">
        <f t="array" ref="X41">INDEX(표2[고객확보비용],MATCH($B41&amp;X$39,표2[이름]&amp;표2[월],0),1)</f>
        <v>9800</v>
      </c>
      <c r="Y41" s="33" cm="1">
        <f t="array" ref="Y41">INDEX(표2[고객확보비용],MATCH($B41&amp;Y$39,표2[이름]&amp;표2[월],0),1)</f>
        <v>8700</v>
      </c>
      <c r="Z41" s="34" cm="1">
        <f t="array" ref="Z41">INDEX(표2[고객확보비용],MATCH($B41&amp;Z$39,표2[이름]&amp;표2[월],0),1)</f>
        <v>5600</v>
      </c>
      <c r="AA41" s="33">
        <f>X41/R41</f>
        <v>544.44444444444446</v>
      </c>
      <c r="AB41" s="33">
        <f t="shared" ref="AB41:AB45" si="71">Y41/S41</f>
        <v>414.28571428571428</v>
      </c>
      <c r="AC41" s="34">
        <f t="shared" ref="AC41:AC45" si="72">Z41/T41</f>
        <v>400</v>
      </c>
      <c r="AD41" s="33" cm="1">
        <f t="array" ref="AD41">INDEX(표2[고객확보비용목표(고객당)],MATCH($B41&amp;AD$39,표2[이름]&amp;표2[월],0),1)</f>
        <v>400</v>
      </c>
      <c r="AE41" s="33" cm="1">
        <f t="array" ref="AE41">INDEX(표2[고객확보비용목표(고객당)],MATCH($B41&amp;AE$39,표2[이름]&amp;표2[월],0),1)</f>
        <v>350</v>
      </c>
      <c r="AF41" s="34" cm="1">
        <f t="array" ref="AF41">INDEX(표2[고객확보비용목표(고객당)],MATCH($B41&amp;AF$39,표2[이름]&amp;표2[월],0),1)</f>
        <v>350</v>
      </c>
      <c r="AG41" s="33" cm="1">
        <f t="array" ref="AG41">INDEX(표2[전년도고객확보비용(고객당)],MATCH($B41&amp;AG$39,표2[이름]&amp;표2[월],0),1)</f>
        <v>404</v>
      </c>
      <c r="AH41" s="33" cm="1">
        <f t="array" ref="AH41">INDEX(표2[전년도고객확보비용(고객당)],MATCH($B41&amp;AH$39,표2[이름]&amp;표2[월],0),1)</f>
        <v>379</v>
      </c>
      <c r="AI41" s="34" cm="1">
        <f t="array" ref="AI41">INDEX(표2[전년도고객확보비용(고객당)],MATCH($B41&amp;AI$39,표2[이름]&amp;표2[월],0),1)</f>
        <v>386</v>
      </c>
      <c r="AJ41" s="33">
        <f>C41/L41</f>
        <v>1529.4117647058824</v>
      </c>
      <c r="AK41" s="33">
        <f t="shared" ref="AK41:AK45" si="73">D41/M41</f>
        <v>2435.897435897436</v>
      </c>
      <c r="AL41" s="34">
        <f t="shared" ref="AL41:AL45" si="74">E41/N41</f>
        <v>1512.5</v>
      </c>
      <c r="AM41" s="33" cm="1">
        <f t="array" ref="AM41">INDEX(표2[전년도매출액(고객당)],MATCH($B41&amp;AM$39,표2[이름]&amp;표2[월],0),1)</f>
        <v>2500</v>
      </c>
      <c r="AN41" s="33" cm="1">
        <f t="array" ref="AN41">INDEX(표2[전년도매출액(고객당)],MATCH($B41&amp;AN$39,표2[이름]&amp;표2[월],0),1)</f>
        <v>2500</v>
      </c>
      <c r="AO41" s="34" cm="1">
        <f t="array" ref="AO41">INDEX(표2[전년도매출액(고객당)],MATCH($B41&amp;AO$39,표2[이름]&amp;표2[월],0),1)</f>
        <v>2000</v>
      </c>
      <c r="AP41" s="33" cm="1">
        <f t="array" ref="AP41">INDEX(표2[목표매출액(고객당)],MATCH($B41&amp;AP$39,표2[이름]&amp;표2[월],0),1)</f>
        <v>2700</v>
      </c>
      <c r="AQ41" s="33" cm="1">
        <f t="array" ref="AQ41">INDEX(표2[목표매출액(고객당)],MATCH($B41&amp;AQ$39,표2[이름]&amp;표2[월],0),1)</f>
        <v>2500</v>
      </c>
      <c r="AR41" s="37" cm="1">
        <f t="array" ref="AR41">INDEX(표2[목표매출액(고객당)],MATCH($B41&amp;AR$39,표2[이름]&amp;표2[월],0),1)</f>
        <v>2600</v>
      </c>
    </row>
    <row r="42" spans="2:44" x14ac:dyDescent="0.3">
      <c r="B42" s="32" t="s">
        <v>53</v>
      </c>
      <c r="C42" s="33" cm="1">
        <f t="array" ref="C42">INDEX(표2[매출액],MATCH($B42&amp;C$39,표2[이름]&amp;표2[월],0),1)</f>
        <v>166000</v>
      </c>
      <c r="D42" s="33" cm="1">
        <f t="array" ref="D42">INDEX(표2[매출액],MATCH($B42&amp;D$39,표2[이름]&amp;표2[월],0),1)</f>
        <v>158000</v>
      </c>
      <c r="E42" s="34" cm="1">
        <f t="array" ref="E42">INDEX(표2[매출액],MATCH($B42&amp;E$39,표2[이름]&amp;표2[월],0),1)</f>
        <v>116000</v>
      </c>
      <c r="F42" s="33" cm="1">
        <f t="array" ref="F42">INDEX(표2[목표매출액],MATCH($B42&amp;F$39,표2[이름]&amp;표2[월],0),1)</f>
        <v>131000</v>
      </c>
      <c r="G42" s="33" cm="1">
        <f t="array" ref="G42">INDEX(표2[목표매출액],MATCH($B42&amp;G$39,표2[이름]&amp;표2[월],0),1)</f>
        <v>169000</v>
      </c>
      <c r="H42" s="34" cm="1">
        <f t="array" ref="H42">INDEX(표2[목표매출액],MATCH($B42&amp;H$39,표2[이름]&amp;표2[월],0),1)</f>
        <v>193000</v>
      </c>
      <c r="I42" s="33" cm="1">
        <f t="array" ref="I42">INDEX(표2[전년도매출액],MATCH($B42&amp;I$39,표2[이름]&amp;표2[월],0),1)</f>
        <v>178000</v>
      </c>
      <c r="J42" s="33" cm="1">
        <f t="array" ref="J42">INDEX(표2[전년도매출액],MATCH($B42&amp;J$39,표2[이름]&amp;표2[월],0),1)</f>
        <v>157000</v>
      </c>
      <c r="K42" s="34" cm="1">
        <f t="array" ref="K42">INDEX(표2[전년도매출액],MATCH($B42&amp;K$39,표2[이름]&amp;표2[월],0),1)</f>
        <v>178000</v>
      </c>
      <c r="L42" s="35" cm="1">
        <f t="array" ref="L42">INDEX(표2[전체고객수],MATCH($B42&amp;L$39,표2[이름]&amp;표2[월],0),1)</f>
        <v>45</v>
      </c>
      <c r="M42" s="35" cm="1">
        <f t="array" ref="M42">INDEX(표2[전체고객수],MATCH($B42&amp;M$39,표2[이름]&amp;표2[월],0),1)</f>
        <v>58</v>
      </c>
      <c r="N42" s="36" cm="1">
        <f t="array" ref="N42">INDEX(표2[전체고객수],MATCH($B42&amp;N$39,표2[이름]&amp;표2[월],0),1)</f>
        <v>70</v>
      </c>
      <c r="O42" s="35" cm="1">
        <f t="array" ref="O42">INDEX(표2[목표신규고객수],MATCH($B42&amp;O$39,표2[이름]&amp;표2[월],0),1)</f>
        <v>31</v>
      </c>
      <c r="P42" s="35" cm="1">
        <f t="array" ref="P42">INDEX(표2[목표신규고객수],MATCH($B42&amp;P$39,표2[이름]&amp;표2[월],0),1)</f>
        <v>31</v>
      </c>
      <c r="Q42" s="36" cm="1">
        <f t="array" ref="Q42">INDEX(표2[목표신규고객수],MATCH($B42&amp;Q$39,표2[이름]&amp;표2[월],0),1)</f>
        <v>46</v>
      </c>
      <c r="R42" s="35" cm="1">
        <f t="array" ref="R42">INDEX(표2[신규고객수],MATCH($B42&amp;R$39,표2[이름]&amp;표2[월],0),1)</f>
        <v>7</v>
      </c>
      <c r="S42" s="35" cm="1">
        <f t="array" ref="S42">INDEX(표2[신규고객수],MATCH($B42&amp;S$39,표2[이름]&amp;표2[월],0),1)</f>
        <v>6</v>
      </c>
      <c r="T42" s="36" cm="1">
        <f t="array" ref="T42">INDEX(표2[신규고객수],MATCH($B42&amp;T$39,표2[이름]&amp;표2[월],0),1)</f>
        <v>9</v>
      </c>
      <c r="U42" s="35" cm="1">
        <f t="array" ref="U42">INDEX(표2[전년도신규고객수],MATCH($B42&amp;U$39,표2[이름]&amp;표2[월],0),1)</f>
        <v>19</v>
      </c>
      <c r="V42" s="35" cm="1">
        <f t="array" ref="V42">INDEX(표2[전년도신규고객수],MATCH($B42&amp;V$39,표2[이름]&amp;표2[월],0),1)</f>
        <v>11</v>
      </c>
      <c r="W42" s="36" cm="1">
        <f t="array" ref="W42">INDEX(표2[전년도신규고객수],MATCH($B42&amp;W$39,표2[이름]&amp;표2[월],0),1)</f>
        <v>14</v>
      </c>
      <c r="X42" s="33" cm="1">
        <f t="array" ref="X42">INDEX(표2[고객확보비용],MATCH($B42&amp;X$39,표2[이름]&amp;표2[월],0),1)</f>
        <v>5300</v>
      </c>
      <c r="Y42" s="33" cm="1">
        <f t="array" ref="Y42">INDEX(표2[고객확보비용],MATCH($B42&amp;Y$39,표2[이름]&amp;표2[월],0),1)</f>
        <v>10700</v>
      </c>
      <c r="Z42" s="34" cm="1">
        <f t="array" ref="Z42">INDEX(표2[고객확보비용],MATCH($B42&amp;Z$39,표2[이름]&amp;표2[월],0),1)</f>
        <v>5300</v>
      </c>
      <c r="AA42" s="33">
        <f t="shared" ref="AA42:AA45" si="75">X42/R42</f>
        <v>757.14285714285711</v>
      </c>
      <c r="AB42" s="33">
        <f t="shared" si="71"/>
        <v>1783.3333333333333</v>
      </c>
      <c r="AC42" s="34">
        <f t="shared" si="72"/>
        <v>588.88888888888891</v>
      </c>
      <c r="AD42" s="33" cm="1">
        <f t="array" ref="AD42">INDEX(표2[고객확보비용목표(고객당)],MATCH($B42&amp;AD$39,표2[이름]&amp;표2[월],0),1)</f>
        <v>400</v>
      </c>
      <c r="AE42" s="33" cm="1">
        <f t="array" ref="AE42">INDEX(표2[고객확보비용목표(고객당)],MATCH($B42&amp;AE$39,표2[이름]&amp;표2[월],0),1)</f>
        <v>350</v>
      </c>
      <c r="AF42" s="34" cm="1">
        <f t="array" ref="AF42">INDEX(표2[고객확보비용목표(고객당)],MATCH($B42&amp;AF$39,표2[이름]&amp;표2[월],0),1)</f>
        <v>350</v>
      </c>
      <c r="AG42" s="33" cm="1">
        <f t="array" ref="AG42">INDEX(표2[전년도고객확보비용(고객당)],MATCH($B42&amp;AG$39,표2[이름]&amp;표2[월],0),1)</f>
        <v>401</v>
      </c>
      <c r="AH42" s="33" cm="1">
        <f t="array" ref="AH42">INDEX(표2[전년도고객확보비용(고객당)],MATCH($B42&amp;AH$39,표2[이름]&amp;표2[월],0),1)</f>
        <v>362</v>
      </c>
      <c r="AI42" s="34" cm="1">
        <f t="array" ref="AI42">INDEX(표2[전년도고객확보비용(고객당)],MATCH($B42&amp;AI$39,표2[이름]&amp;표2[월],0),1)</f>
        <v>391</v>
      </c>
      <c r="AJ42" s="33">
        <f t="shared" ref="AJ42:AJ45" si="76">C42/L42</f>
        <v>3688.8888888888887</v>
      </c>
      <c r="AK42" s="33">
        <f t="shared" si="73"/>
        <v>2724.1379310344828</v>
      </c>
      <c r="AL42" s="34">
        <f t="shared" si="74"/>
        <v>1657.1428571428571</v>
      </c>
      <c r="AM42" s="33" cm="1">
        <f t="array" ref="AM42">INDEX(표2[전년도매출액(고객당)],MATCH($B42&amp;AM$39,표2[이름]&amp;표2[월],0),1)</f>
        <v>2400</v>
      </c>
      <c r="AN42" s="33" cm="1">
        <f t="array" ref="AN42">INDEX(표2[전년도매출액(고객당)],MATCH($B42&amp;AN$39,표2[이름]&amp;표2[월],0),1)</f>
        <v>2500</v>
      </c>
      <c r="AO42" s="34" cm="1">
        <f t="array" ref="AO42">INDEX(표2[전년도매출액(고객당)],MATCH($B42&amp;AO$39,표2[이름]&amp;표2[월],0),1)</f>
        <v>3200</v>
      </c>
      <c r="AP42" s="33" cm="1">
        <f t="array" ref="AP42">INDEX(표2[목표매출액(고객당)],MATCH($B42&amp;AP$39,표2[이름]&amp;표2[월],0),1)</f>
        <v>2700</v>
      </c>
      <c r="AQ42" s="33" cm="1">
        <f t="array" ref="AQ42">INDEX(표2[목표매출액(고객당)],MATCH($B42&amp;AQ$39,표2[이름]&amp;표2[월],0),1)</f>
        <v>2500</v>
      </c>
      <c r="AR42" s="37" cm="1">
        <f t="array" ref="AR42">INDEX(표2[목표매출액(고객당)],MATCH($B42&amp;AR$39,표2[이름]&amp;표2[월],0),1)</f>
        <v>2600</v>
      </c>
    </row>
    <row r="43" spans="2:44" x14ac:dyDescent="0.3">
      <c r="B43" s="32" t="s">
        <v>54</v>
      </c>
      <c r="C43" s="33" cm="1">
        <f t="array" ref="C43">INDEX(표2[매출액],MATCH($B43&amp;C$39,표2[이름]&amp;표2[월],0),1)</f>
        <v>141000</v>
      </c>
      <c r="D43" s="33" cm="1">
        <f t="array" ref="D43">INDEX(표2[매출액],MATCH($B43&amp;D$39,표2[이름]&amp;표2[월],0),1)</f>
        <v>159000</v>
      </c>
      <c r="E43" s="34" cm="1">
        <f t="array" ref="E43">INDEX(표2[매출액],MATCH($B43&amp;E$39,표2[이름]&amp;표2[월],0),1)</f>
        <v>194000</v>
      </c>
      <c r="F43" s="33" cm="1">
        <f t="array" ref="F43">INDEX(표2[목표매출액],MATCH($B43&amp;F$39,표2[이름]&amp;표2[월],0),1)</f>
        <v>123000</v>
      </c>
      <c r="G43" s="33" cm="1">
        <f t="array" ref="G43">INDEX(표2[목표매출액],MATCH($B43&amp;G$39,표2[이름]&amp;표2[월],0),1)</f>
        <v>142000</v>
      </c>
      <c r="H43" s="34" cm="1">
        <f t="array" ref="H43">INDEX(표2[목표매출액],MATCH($B43&amp;H$39,표2[이름]&amp;표2[월],0),1)</f>
        <v>170000</v>
      </c>
      <c r="I43" s="33" cm="1">
        <f t="array" ref="I43">INDEX(표2[전년도매출액],MATCH($B43&amp;I$39,표2[이름]&amp;표2[월],0),1)</f>
        <v>150000</v>
      </c>
      <c r="J43" s="33" cm="1">
        <f t="array" ref="J43">INDEX(표2[전년도매출액],MATCH($B43&amp;J$39,표2[이름]&amp;표2[월],0),1)</f>
        <v>103000</v>
      </c>
      <c r="K43" s="34" cm="1">
        <f t="array" ref="K43">INDEX(표2[전년도매출액],MATCH($B43&amp;K$39,표2[이름]&amp;표2[월],0),1)</f>
        <v>162000</v>
      </c>
      <c r="L43" s="35" cm="1">
        <f t="array" ref="L43">INDEX(표2[전체고객수],MATCH($B43&amp;L$39,표2[이름]&amp;표2[월],0),1)</f>
        <v>74</v>
      </c>
      <c r="M43" s="35" cm="1">
        <f t="array" ref="M43">INDEX(표2[전체고객수],MATCH($B43&amp;M$39,표2[이름]&amp;표2[월],0),1)</f>
        <v>31</v>
      </c>
      <c r="N43" s="36" cm="1">
        <f t="array" ref="N43">INDEX(표2[전체고객수],MATCH($B43&amp;N$39,표2[이름]&amp;표2[월],0),1)</f>
        <v>48</v>
      </c>
      <c r="O43" s="35" cm="1">
        <f t="array" ref="O43">INDEX(표2[목표신규고객수],MATCH($B43&amp;O$39,표2[이름]&amp;표2[월],0),1)</f>
        <v>45</v>
      </c>
      <c r="P43" s="35" cm="1">
        <f t="array" ref="P43">INDEX(표2[목표신규고객수],MATCH($B43&amp;P$39,표2[이름]&amp;표2[월],0),1)</f>
        <v>40</v>
      </c>
      <c r="Q43" s="36" cm="1">
        <f t="array" ref="Q43">INDEX(표2[목표신규고객수],MATCH($B43&amp;Q$39,표2[이름]&amp;표2[월],0),1)</f>
        <v>39</v>
      </c>
      <c r="R43" s="35" cm="1">
        <f t="array" ref="R43">INDEX(표2[신규고객수],MATCH($B43&amp;R$39,표2[이름]&amp;표2[월],0),1)</f>
        <v>22</v>
      </c>
      <c r="S43" s="35" cm="1">
        <f t="array" ref="S43">INDEX(표2[신규고객수],MATCH($B43&amp;S$39,표2[이름]&amp;표2[월],0),1)</f>
        <v>7</v>
      </c>
      <c r="T43" s="36" cm="1">
        <f t="array" ref="T43">INDEX(표2[신규고객수],MATCH($B43&amp;T$39,표2[이름]&amp;표2[월],0),1)</f>
        <v>12</v>
      </c>
      <c r="U43" s="35" cm="1">
        <f t="array" ref="U43">INDEX(표2[전년도신규고객수],MATCH($B43&amp;U$39,표2[이름]&amp;표2[월],0),1)</f>
        <v>22</v>
      </c>
      <c r="V43" s="35" cm="1">
        <f t="array" ref="V43">INDEX(표2[전년도신규고객수],MATCH($B43&amp;V$39,표2[이름]&amp;표2[월],0),1)</f>
        <v>9</v>
      </c>
      <c r="W43" s="36" cm="1">
        <f t="array" ref="W43">INDEX(표2[전년도신규고객수],MATCH($B43&amp;W$39,표2[이름]&amp;표2[월],0),1)</f>
        <v>18</v>
      </c>
      <c r="X43" s="33" cm="1">
        <f t="array" ref="X43">INDEX(표2[고객확보비용],MATCH($B43&amp;X$39,표2[이름]&amp;표2[월],0),1)</f>
        <v>10900</v>
      </c>
      <c r="Y43" s="33" cm="1">
        <f t="array" ref="Y43">INDEX(표2[고객확보비용],MATCH($B43&amp;Y$39,표2[이름]&amp;표2[월],0),1)</f>
        <v>7000</v>
      </c>
      <c r="Z43" s="34" cm="1">
        <f t="array" ref="Z43">INDEX(표2[고객확보비용],MATCH($B43&amp;Z$39,표2[이름]&amp;표2[월],0),1)</f>
        <v>5800</v>
      </c>
      <c r="AA43" s="33">
        <f t="shared" si="75"/>
        <v>495.45454545454544</v>
      </c>
      <c r="AB43" s="33">
        <f t="shared" si="71"/>
        <v>1000</v>
      </c>
      <c r="AC43" s="34">
        <f t="shared" si="72"/>
        <v>483.33333333333331</v>
      </c>
      <c r="AD43" s="33" cm="1">
        <f t="array" ref="AD43">INDEX(표2[고객확보비용목표(고객당)],MATCH($B43&amp;AD$39,표2[이름]&amp;표2[월],0),1)</f>
        <v>400</v>
      </c>
      <c r="AE43" s="33" cm="1">
        <f t="array" ref="AE43">INDEX(표2[고객확보비용목표(고객당)],MATCH($B43&amp;AE$39,표2[이름]&amp;표2[월],0),1)</f>
        <v>350</v>
      </c>
      <c r="AF43" s="34" cm="1">
        <f t="array" ref="AF43">INDEX(표2[고객확보비용목표(고객당)],MATCH($B43&amp;AF$39,표2[이름]&amp;표2[월],0),1)</f>
        <v>350</v>
      </c>
      <c r="AG43" s="33" cm="1">
        <f t="array" ref="AG43">INDEX(표2[전년도고객확보비용(고객당)],MATCH($B43&amp;AG$39,표2[이름]&amp;표2[월],0),1)</f>
        <v>359</v>
      </c>
      <c r="AH43" s="33" cm="1">
        <f t="array" ref="AH43">INDEX(표2[전년도고객확보비용(고객당)],MATCH($B43&amp;AH$39,표2[이름]&amp;표2[월],0),1)</f>
        <v>384</v>
      </c>
      <c r="AI43" s="34" cm="1">
        <f t="array" ref="AI43">INDEX(표2[전년도고객확보비용(고객당)],MATCH($B43&amp;AI$39,표2[이름]&amp;표2[월],0),1)</f>
        <v>354</v>
      </c>
      <c r="AJ43" s="33">
        <f t="shared" si="76"/>
        <v>1905.4054054054054</v>
      </c>
      <c r="AK43" s="33">
        <f t="shared" si="73"/>
        <v>5129.0322580645161</v>
      </c>
      <c r="AL43" s="34">
        <f t="shared" si="74"/>
        <v>4041.6666666666665</v>
      </c>
      <c r="AM43" s="33" cm="1">
        <f t="array" ref="AM43">INDEX(표2[전년도매출액(고객당)],MATCH($B43&amp;AM$39,표2[이름]&amp;표2[월],0),1)</f>
        <v>2500</v>
      </c>
      <c r="AN43" s="33" cm="1">
        <f t="array" ref="AN43">INDEX(표2[전년도매출액(고객당)],MATCH($B43&amp;AN$39,표2[이름]&amp;표2[월],0),1)</f>
        <v>3200</v>
      </c>
      <c r="AO43" s="34" cm="1">
        <f t="array" ref="AO43">INDEX(표2[전년도매출액(고객당)],MATCH($B43&amp;AO$39,표2[이름]&amp;표2[월],0),1)</f>
        <v>3300</v>
      </c>
      <c r="AP43" s="33" cm="1">
        <f t="array" ref="AP43">INDEX(표2[목표매출액(고객당)],MATCH($B43&amp;AP$39,표2[이름]&amp;표2[월],0),1)</f>
        <v>2700</v>
      </c>
      <c r="AQ43" s="33" cm="1">
        <f t="array" ref="AQ43">INDEX(표2[목표매출액(고객당)],MATCH($B43&amp;AQ$39,표2[이름]&amp;표2[월],0),1)</f>
        <v>2500</v>
      </c>
      <c r="AR43" s="37" cm="1">
        <f t="array" ref="AR43">INDEX(표2[목표매출액(고객당)],MATCH($B43&amp;AR$39,표2[이름]&amp;표2[월],0),1)</f>
        <v>2600</v>
      </c>
    </row>
    <row r="44" spans="2:44" x14ac:dyDescent="0.3">
      <c r="B44" s="32" t="s">
        <v>55</v>
      </c>
      <c r="C44" s="33" cm="1">
        <f t="array" ref="C44">INDEX(표2[매출액],MATCH($B44&amp;C$39,표2[이름]&amp;표2[월],0),1)</f>
        <v>109000</v>
      </c>
      <c r="D44" s="33" cm="1">
        <f t="array" ref="D44">INDEX(표2[매출액],MATCH($B44&amp;D$39,표2[이름]&amp;표2[월],0),1)</f>
        <v>161000</v>
      </c>
      <c r="E44" s="34" cm="1">
        <f t="array" ref="E44">INDEX(표2[매출액],MATCH($B44&amp;E$39,표2[이름]&amp;표2[월],0),1)</f>
        <v>114000</v>
      </c>
      <c r="F44" s="33" cm="1">
        <f t="array" ref="F44">INDEX(표2[목표매출액],MATCH($B44&amp;F$39,표2[이름]&amp;표2[월],0),1)</f>
        <v>106000</v>
      </c>
      <c r="G44" s="33" cm="1">
        <f t="array" ref="G44">INDEX(표2[목표매출액],MATCH($B44&amp;G$39,표2[이름]&amp;표2[월],0),1)</f>
        <v>126000</v>
      </c>
      <c r="H44" s="34" cm="1">
        <f t="array" ref="H44">INDEX(표2[목표매출액],MATCH($B44&amp;H$39,표2[이름]&amp;표2[월],0),1)</f>
        <v>127000</v>
      </c>
      <c r="I44" s="33" cm="1">
        <f t="array" ref="I44">INDEX(표2[전년도매출액],MATCH($B44&amp;I$39,표2[이름]&amp;표2[월],0),1)</f>
        <v>126000</v>
      </c>
      <c r="J44" s="33" cm="1">
        <f t="array" ref="J44">INDEX(표2[전년도매출액],MATCH($B44&amp;J$39,표2[이름]&amp;표2[월],0),1)</f>
        <v>150000</v>
      </c>
      <c r="K44" s="34" cm="1">
        <f t="array" ref="K44">INDEX(표2[전년도매출액],MATCH($B44&amp;K$39,표2[이름]&amp;표2[월],0),1)</f>
        <v>186000</v>
      </c>
      <c r="L44" s="35" cm="1">
        <f t="array" ref="L44">INDEX(표2[전체고객수],MATCH($B44&amp;L$39,표2[이름]&amp;표2[월],0),1)</f>
        <v>33</v>
      </c>
      <c r="M44" s="35" cm="1">
        <f t="array" ref="M44">INDEX(표2[전체고객수],MATCH($B44&amp;M$39,표2[이름]&amp;표2[월],0),1)</f>
        <v>33</v>
      </c>
      <c r="N44" s="36" cm="1">
        <f t="array" ref="N44">INDEX(표2[전체고객수],MATCH($B44&amp;N$39,표2[이름]&amp;표2[월],0),1)</f>
        <v>68</v>
      </c>
      <c r="O44" s="35" cm="1">
        <f t="array" ref="O44">INDEX(표2[목표신규고객수],MATCH($B44&amp;O$39,표2[이름]&amp;표2[월],0),1)</f>
        <v>85</v>
      </c>
      <c r="P44" s="35" cm="1">
        <f t="array" ref="P44">INDEX(표2[목표신규고객수],MATCH($B44&amp;P$39,표2[이름]&amp;표2[월],0),1)</f>
        <v>59</v>
      </c>
      <c r="Q44" s="36" cm="1">
        <f t="array" ref="Q44">INDEX(표2[목표신규고객수],MATCH($B44&amp;Q$39,표2[이름]&amp;표2[월],0),1)</f>
        <v>57</v>
      </c>
      <c r="R44" s="35" cm="1">
        <f t="array" ref="R44">INDEX(표2[신규고객수],MATCH($B44&amp;R$39,표2[이름]&amp;표2[월],0),1)</f>
        <v>6</v>
      </c>
      <c r="S44" s="35" cm="1">
        <f t="array" ref="S44">INDEX(표2[신규고객수],MATCH($B44&amp;S$39,표2[이름]&amp;표2[월],0),1)</f>
        <v>5</v>
      </c>
      <c r="T44" s="36" cm="1">
        <f t="array" ref="T44">INDEX(표2[신규고객수],MATCH($B44&amp;T$39,표2[이름]&amp;표2[월],0),1)</f>
        <v>20</v>
      </c>
      <c r="U44" s="35" cm="1">
        <f t="array" ref="U44">INDEX(표2[전년도신규고객수],MATCH($B44&amp;U$39,표2[이름]&amp;표2[월],0),1)</f>
        <v>25</v>
      </c>
      <c r="V44" s="35" cm="1">
        <f t="array" ref="V44">INDEX(표2[전년도신규고객수],MATCH($B44&amp;V$39,표2[이름]&amp;표2[월],0),1)</f>
        <v>17</v>
      </c>
      <c r="W44" s="36" cm="1">
        <f t="array" ref="W44">INDEX(표2[전년도신규고객수],MATCH($B44&amp;W$39,표2[이름]&amp;표2[월],0),1)</f>
        <v>10</v>
      </c>
      <c r="X44" s="33" cm="1">
        <f t="array" ref="X44">INDEX(표2[고객확보비용],MATCH($B44&amp;X$39,표2[이름]&amp;표2[월],0),1)</f>
        <v>8300</v>
      </c>
      <c r="Y44" s="33" cm="1">
        <f t="array" ref="Y44">INDEX(표2[고객확보비용],MATCH($B44&amp;Y$39,표2[이름]&amp;표2[월],0),1)</f>
        <v>6700</v>
      </c>
      <c r="Z44" s="34" cm="1">
        <f t="array" ref="Z44">INDEX(표2[고객확보비용],MATCH($B44&amp;Z$39,표2[이름]&amp;표2[월],0),1)</f>
        <v>5700</v>
      </c>
      <c r="AA44" s="33">
        <f t="shared" si="75"/>
        <v>1383.3333333333333</v>
      </c>
      <c r="AB44" s="33">
        <f t="shared" si="71"/>
        <v>1340</v>
      </c>
      <c r="AC44" s="34">
        <f t="shared" si="72"/>
        <v>285</v>
      </c>
      <c r="AD44" s="33" cm="1">
        <f t="array" ref="AD44">INDEX(표2[고객확보비용목표(고객당)],MATCH($B44&amp;AD$39,표2[이름]&amp;표2[월],0),1)</f>
        <v>400</v>
      </c>
      <c r="AE44" s="33" cm="1">
        <f t="array" ref="AE44">INDEX(표2[고객확보비용목표(고객당)],MATCH($B44&amp;AE$39,표2[이름]&amp;표2[월],0),1)</f>
        <v>350</v>
      </c>
      <c r="AF44" s="34" cm="1">
        <f t="array" ref="AF44">INDEX(표2[고객확보비용목표(고객당)],MATCH($B44&amp;AF$39,표2[이름]&amp;표2[월],0),1)</f>
        <v>350</v>
      </c>
      <c r="AG44" s="33" cm="1">
        <f t="array" ref="AG44">INDEX(표2[전년도고객확보비용(고객당)],MATCH($B44&amp;AG$39,표2[이름]&amp;표2[월],0),1)</f>
        <v>359</v>
      </c>
      <c r="AH44" s="33" cm="1">
        <f t="array" ref="AH44">INDEX(표2[전년도고객확보비용(고객당)],MATCH($B44&amp;AH$39,표2[이름]&amp;표2[월],0),1)</f>
        <v>387</v>
      </c>
      <c r="AI44" s="34" cm="1">
        <f t="array" ref="AI44">INDEX(표2[전년도고객확보비용(고객당)],MATCH($B44&amp;AI$39,표2[이름]&amp;표2[월],0),1)</f>
        <v>355</v>
      </c>
      <c r="AJ44" s="33">
        <f t="shared" si="76"/>
        <v>3303.030303030303</v>
      </c>
      <c r="AK44" s="33">
        <f t="shared" si="73"/>
        <v>4878.787878787879</v>
      </c>
      <c r="AL44" s="34">
        <f t="shared" si="74"/>
        <v>1676.4705882352941</v>
      </c>
      <c r="AM44" s="33" cm="1">
        <f t="array" ref="AM44">INDEX(표2[전년도매출액(고객당)],MATCH($B44&amp;AM$39,표2[이름]&amp;표2[월],0),1)</f>
        <v>2200</v>
      </c>
      <c r="AN44" s="33" cm="1">
        <f t="array" ref="AN44">INDEX(표2[전년도매출액(고객당)],MATCH($B44&amp;AN$39,표2[이름]&amp;표2[월],0),1)</f>
        <v>2100</v>
      </c>
      <c r="AO44" s="34" cm="1">
        <f t="array" ref="AO44">INDEX(표2[전년도매출액(고객당)],MATCH($B44&amp;AO$39,표2[이름]&amp;표2[월],0),1)</f>
        <v>3200</v>
      </c>
      <c r="AP44" s="33" cm="1">
        <f t="array" ref="AP44">INDEX(표2[목표매출액(고객당)],MATCH($B44&amp;AP$39,표2[이름]&amp;표2[월],0),1)</f>
        <v>2700</v>
      </c>
      <c r="AQ44" s="33" cm="1">
        <f t="array" ref="AQ44">INDEX(표2[목표매출액(고객당)],MATCH($B44&amp;AQ$39,표2[이름]&amp;표2[월],0),1)</f>
        <v>2500</v>
      </c>
      <c r="AR44" s="37" cm="1">
        <f t="array" ref="AR44">INDEX(표2[목표매출액(고객당)],MATCH($B44&amp;AR$39,표2[이름]&amp;표2[월],0),1)</f>
        <v>2600</v>
      </c>
    </row>
    <row r="45" spans="2:44" x14ac:dyDescent="0.3">
      <c r="B45" s="32" t="s">
        <v>56</v>
      </c>
      <c r="C45" s="33" cm="1">
        <f t="array" ref="C45">INDEX(표2[매출액],MATCH($B45&amp;C$39,표2[이름]&amp;표2[월],0),1)</f>
        <v>164000</v>
      </c>
      <c r="D45" s="33" cm="1">
        <f t="array" ref="D45">INDEX(표2[매출액],MATCH($B45&amp;D$39,표2[이름]&amp;표2[월],0),1)</f>
        <v>131000</v>
      </c>
      <c r="E45" s="34" cm="1">
        <f t="array" ref="E45">INDEX(표2[매출액],MATCH($B45&amp;E$39,표2[이름]&amp;표2[월],0),1)</f>
        <v>169000</v>
      </c>
      <c r="F45" s="33" cm="1">
        <f t="array" ref="F45">INDEX(표2[목표매출액],MATCH($B45&amp;F$39,표2[이름]&amp;표2[월],0),1)</f>
        <v>194000</v>
      </c>
      <c r="G45" s="33" cm="1">
        <f t="array" ref="G45">INDEX(표2[목표매출액],MATCH($B45&amp;G$39,표2[이름]&amp;표2[월],0),1)</f>
        <v>104000</v>
      </c>
      <c r="H45" s="34" cm="1">
        <f t="array" ref="H45">INDEX(표2[목표매출액],MATCH($B45&amp;H$39,표2[이름]&amp;표2[월],0),1)</f>
        <v>118000</v>
      </c>
      <c r="I45" s="33" cm="1">
        <f t="array" ref="I45">INDEX(표2[전년도매출액],MATCH($B45&amp;I$39,표2[이름]&amp;표2[월],0),1)</f>
        <v>165000</v>
      </c>
      <c r="J45" s="33" cm="1">
        <f t="array" ref="J45">INDEX(표2[전년도매출액],MATCH($B45&amp;J$39,표2[이름]&amp;표2[월],0),1)</f>
        <v>176000</v>
      </c>
      <c r="K45" s="34" cm="1">
        <f t="array" ref="K45">INDEX(표2[전년도매출액],MATCH($B45&amp;K$39,표2[이름]&amp;표2[월],0),1)</f>
        <v>182000</v>
      </c>
      <c r="L45" s="35" cm="1">
        <f t="array" ref="L45">INDEX(표2[전체고객수],MATCH($B45&amp;L$39,표2[이름]&amp;표2[월],0),1)</f>
        <v>76</v>
      </c>
      <c r="M45" s="35" cm="1">
        <f t="array" ref="M45">INDEX(표2[전체고객수],MATCH($B45&amp;M$39,표2[이름]&amp;표2[월],0),1)</f>
        <v>66</v>
      </c>
      <c r="N45" s="36" cm="1">
        <f t="array" ref="N45">INDEX(표2[전체고객수],MATCH($B45&amp;N$39,표2[이름]&amp;표2[월],0),1)</f>
        <v>68</v>
      </c>
      <c r="O45" s="35" cm="1">
        <f t="array" ref="O45">INDEX(표2[목표신규고객수],MATCH($B45&amp;O$39,표2[이름]&amp;표2[월],0),1)</f>
        <v>73</v>
      </c>
      <c r="P45" s="35" cm="1">
        <f t="array" ref="P45">INDEX(표2[목표신규고객수],MATCH($B45&amp;P$39,표2[이름]&amp;표2[월],0),1)</f>
        <v>65</v>
      </c>
      <c r="Q45" s="36" cm="1">
        <f t="array" ref="Q45">INDEX(표2[목표신규고객수],MATCH($B45&amp;Q$39,표2[이름]&amp;표2[월],0),1)</f>
        <v>65</v>
      </c>
      <c r="R45" s="35" cm="1">
        <f t="array" ref="R45">INDEX(표2[신규고객수],MATCH($B45&amp;R$39,표2[이름]&amp;표2[월],0),1)</f>
        <v>11</v>
      </c>
      <c r="S45" s="35" cm="1">
        <f t="array" ref="S45">INDEX(표2[신규고객수],MATCH($B45&amp;S$39,표2[이름]&amp;표2[월],0),1)</f>
        <v>19</v>
      </c>
      <c r="T45" s="36" cm="1">
        <f t="array" ref="T45">INDEX(표2[신규고객수],MATCH($B45&amp;T$39,표2[이름]&amp;표2[월],0),1)</f>
        <v>10</v>
      </c>
      <c r="U45" s="35" cm="1">
        <f t="array" ref="U45">INDEX(표2[전년도신규고객수],MATCH($B45&amp;U$39,표2[이름]&amp;표2[월],0),1)</f>
        <v>9</v>
      </c>
      <c r="V45" s="35" cm="1">
        <f t="array" ref="V45">INDEX(표2[전년도신규고객수],MATCH($B45&amp;V$39,표2[이름]&amp;표2[월],0),1)</f>
        <v>11</v>
      </c>
      <c r="W45" s="36" cm="1">
        <f t="array" ref="W45">INDEX(표2[전년도신규고객수],MATCH($B45&amp;W$39,표2[이름]&amp;표2[월],0),1)</f>
        <v>18</v>
      </c>
      <c r="X45" s="33" cm="1">
        <f t="array" ref="X45">INDEX(표2[고객확보비용],MATCH($B45&amp;X$39,표2[이름]&amp;표2[월],0),1)</f>
        <v>10600</v>
      </c>
      <c r="Y45" s="33" cm="1">
        <f t="array" ref="Y45">INDEX(표2[고객확보비용],MATCH($B45&amp;Y$39,표2[이름]&amp;표2[월],0),1)</f>
        <v>7100</v>
      </c>
      <c r="Z45" s="34" cm="1">
        <f t="array" ref="Z45">INDEX(표2[고객확보비용],MATCH($B45&amp;Z$39,표2[이름]&amp;표2[월],0),1)</f>
        <v>8100</v>
      </c>
      <c r="AA45" s="33">
        <f t="shared" si="75"/>
        <v>963.63636363636363</v>
      </c>
      <c r="AB45" s="33">
        <f t="shared" si="71"/>
        <v>373.68421052631578</v>
      </c>
      <c r="AC45" s="34">
        <f t="shared" si="72"/>
        <v>810</v>
      </c>
      <c r="AD45" s="33" cm="1">
        <f t="array" ref="AD45">INDEX(표2[고객확보비용목표(고객당)],MATCH($B45&amp;AD$39,표2[이름]&amp;표2[월],0),1)</f>
        <v>400</v>
      </c>
      <c r="AE45" s="33" cm="1">
        <f t="array" ref="AE45">INDEX(표2[고객확보비용목표(고객당)],MATCH($B45&amp;AE$39,표2[이름]&amp;표2[월],0),1)</f>
        <v>350</v>
      </c>
      <c r="AF45" s="34" cm="1">
        <f t="array" ref="AF45">INDEX(표2[고객확보비용목표(고객당)],MATCH($B45&amp;AF$39,표2[이름]&amp;표2[월],0),1)</f>
        <v>350</v>
      </c>
      <c r="AG45" s="33" cm="1">
        <f t="array" ref="AG45">INDEX(표2[전년도고객확보비용(고객당)],MATCH($B45&amp;AG$39,표2[이름]&amp;표2[월],0),1)</f>
        <v>354</v>
      </c>
      <c r="AH45" s="33" cm="1">
        <f t="array" ref="AH45">INDEX(표2[전년도고객확보비용(고객당)],MATCH($B45&amp;AH$39,표2[이름]&amp;표2[월],0),1)</f>
        <v>369</v>
      </c>
      <c r="AI45" s="34" cm="1">
        <f t="array" ref="AI45">INDEX(표2[전년도고객확보비용(고객당)],MATCH($B45&amp;AI$39,표2[이름]&amp;표2[월],0),1)</f>
        <v>402</v>
      </c>
      <c r="AJ45" s="33">
        <f t="shared" si="76"/>
        <v>2157.8947368421054</v>
      </c>
      <c r="AK45" s="33">
        <f t="shared" si="73"/>
        <v>1984.8484848484848</v>
      </c>
      <c r="AL45" s="34">
        <f t="shared" si="74"/>
        <v>2485.294117647059</v>
      </c>
      <c r="AM45" s="33" cm="1">
        <f t="array" ref="AM45">INDEX(표2[전년도매출액(고객당)],MATCH($B45&amp;AM$39,표2[이름]&amp;표2[월],0),1)</f>
        <v>2400</v>
      </c>
      <c r="AN45" s="33" cm="1">
        <f t="array" ref="AN45">INDEX(표2[전년도매출액(고객당)],MATCH($B45&amp;AN$39,표2[이름]&amp;표2[월],0),1)</f>
        <v>2900</v>
      </c>
      <c r="AO45" s="34" cm="1">
        <f t="array" ref="AO45">INDEX(표2[전년도매출액(고객당)],MATCH($B45&amp;AO$39,표2[이름]&amp;표2[월],0),1)</f>
        <v>2900</v>
      </c>
      <c r="AP45" s="33" cm="1">
        <f t="array" ref="AP45">INDEX(표2[목표매출액(고객당)],MATCH($B45&amp;AP$39,표2[이름]&amp;표2[월],0),1)</f>
        <v>2700</v>
      </c>
      <c r="AQ45" s="33" cm="1">
        <f t="array" ref="AQ45">INDEX(표2[목표매출액(고객당)],MATCH($B45&amp;AQ$39,표2[이름]&amp;표2[월],0),1)</f>
        <v>2500</v>
      </c>
      <c r="AR45" s="37" cm="1">
        <f t="array" ref="AR45">INDEX(표2[목표매출액(고객당)],MATCH($B45&amp;AR$39,표2[이름]&amp;표2[월],0),1)</f>
        <v>2600</v>
      </c>
    </row>
    <row r="46" spans="2:44" ht="19.149999999999999" customHeight="1" thickBot="1" x14ac:dyDescent="0.35">
      <c r="B46" s="64" t="s">
        <v>57</v>
      </c>
      <c r="C46" s="65">
        <f>SUM(C41:C45)</f>
        <v>684000</v>
      </c>
      <c r="D46" s="65">
        <f t="shared" ref="D46" si="77">SUM(D41:D45)</f>
        <v>799000</v>
      </c>
      <c r="E46" s="66">
        <f t="shared" ref="E46" si="78">SUM(E41:E45)</f>
        <v>714000</v>
      </c>
      <c r="F46" s="65">
        <f t="shared" ref="F46" si="79">SUM(F41:F45)</f>
        <v>680000</v>
      </c>
      <c r="G46" s="65">
        <f t="shared" ref="G46" si="80">SUM(G41:G45)</f>
        <v>669000</v>
      </c>
      <c r="H46" s="66">
        <f t="shared" ref="H46" si="81">SUM(H41:H45)</f>
        <v>804000</v>
      </c>
      <c r="I46" s="65">
        <f t="shared" ref="I46" si="82">SUM(I41:I45)</f>
        <v>734000</v>
      </c>
      <c r="J46" s="65">
        <f t="shared" ref="J46" si="83">SUM(J41:J45)</f>
        <v>705000</v>
      </c>
      <c r="K46" s="66">
        <f t="shared" ref="K46" si="84">SUM(K41:K45)</f>
        <v>832000</v>
      </c>
      <c r="L46" s="67">
        <f t="shared" ref="L46" si="85">SUM(L41:L45)</f>
        <v>296</v>
      </c>
      <c r="M46" s="67">
        <f t="shared" ref="M46" si="86">SUM(M41:M45)</f>
        <v>266</v>
      </c>
      <c r="N46" s="68">
        <f t="shared" ref="N46" si="87">SUM(N41:N45)</f>
        <v>334</v>
      </c>
      <c r="O46" s="67">
        <f t="shared" ref="O46" si="88">SUM(O41:O45)</f>
        <v>309</v>
      </c>
      <c r="P46" s="67">
        <f t="shared" ref="P46" si="89">SUM(P41:P45)</f>
        <v>273</v>
      </c>
      <c r="Q46" s="68">
        <f t="shared" ref="Q46" si="90">SUM(Q41:Q45)</f>
        <v>276</v>
      </c>
      <c r="R46" s="67">
        <f t="shared" ref="R46" si="91">SUM(R41:R45)</f>
        <v>64</v>
      </c>
      <c r="S46" s="67">
        <f t="shared" ref="S46" si="92">SUM(S41:S45)</f>
        <v>58</v>
      </c>
      <c r="T46" s="68">
        <f t="shared" ref="T46" si="93">SUM(T41:T45)</f>
        <v>65</v>
      </c>
      <c r="U46" s="67">
        <f t="shared" ref="U46" si="94">SUM(U41:U45)</f>
        <v>84</v>
      </c>
      <c r="V46" s="67">
        <f t="shared" ref="V46" si="95">SUM(V41:V45)</f>
        <v>71</v>
      </c>
      <c r="W46" s="68">
        <f t="shared" ref="W46" si="96">SUM(W41:W45)</f>
        <v>74</v>
      </c>
      <c r="X46" s="65">
        <f t="shared" ref="X46" si="97">SUM(X41:X45)</f>
        <v>44900</v>
      </c>
      <c r="Y46" s="65">
        <f t="shared" ref="Y46" si="98">SUM(Y41:Y45)</f>
        <v>40200</v>
      </c>
      <c r="Z46" s="66">
        <f t="shared" ref="Z46" si="99">SUM(Z41:Z45)</f>
        <v>30500</v>
      </c>
      <c r="AA46" s="65">
        <f t="shared" ref="AA46" si="100">AVERAGE(AA41:AA45)</f>
        <v>828.80230880230886</v>
      </c>
      <c r="AB46" s="65">
        <f t="shared" ref="AB46" si="101">AVERAGE(AB41:AB45)</f>
        <v>982.26065162907275</v>
      </c>
      <c r="AC46" s="66">
        <f t="shared" ref="AC46" si="102">AVERAGE(AC41:AC45)</f>
        <v>513.44444444444446</v>
      </c>
      <c r="AD46" s="65">
        <f t="shared" ref="AD46" si="103">AVERAGE(AD41:AD45)</f>
        <v>400</v>
      </c>
      <c r="AE46" s="65">
        <f t="shared" ref="AE46" si="104">AVERAGE(AE41:AE45)</f>
        <v>350</v>
      </c>
      <c r="AF46" s="66">
        <f t="shared" ref="AF46" si="105">AVERAGE(AF41:AF45)</f>
        <v>350</v>
      </c>
      <c r="AG46" s="65">
        <f t="shared" ref="AG46" si="106">AVERAGE(AG41:AG45)</f>
        <v>375.4</v>
      </c>
      <c r="AH46" s="65">
        <f t="shared" ref="AH46" si="107">AVERAGE(AH41:AH45)</f>
        <v>376.2</v>
      </c>
      <c r="AI46" s="65">
        <f t="shared" ref="AI46" si="108">AVERAGE(AI41:AI45)</f>
        <v>377.6</v>
      </c>
      <c r="AJ46" s="70">
        <f>AVERAGE(AJ41:AJ45)</f>
        <v>2516.9262197745165</v>
      </c>
      <c r="AK46" s="65">
        <f t="shared" ref="AK46" si="109">AVERAGE(AK41:AK45)</f>
        <v>3430.5407977265595</v>
      </c>
      <c r="AL46" s="65">
        <f t="shared" ref="AL46" si="110">AVERAGE(AL41:AL45)</f>
        <v>2274.6148459383753</v>
      </c>
      <c r="AM46" s="70">
        <f>AVERAGE(AM41:AM45)</f>
        <v>2400</v>
      </c>
      <c r="AN46" s="65">
        <f t="shared" ref="AN46" si="111">AVERAGE(AN41:AN45)</f>
        <v>2640</v>
      </c>
      <c r="AO46" s="66">
        <f t="shared" ref="AO46" si="112">AVERAGE(AO41:AO45)</f>
        <v>2920</v>
      </c>
      <c r="AP46" s="70">
        <f>AVERAGE(AP41:AP45)</f>
        <v>2700</v>
      </c>
      <c r="AQ46" s="65">
        <f t="shared" ref="AQ46" si="113">AVERAGE(AQ41:AQ45)</f>
        <v>2500</v>
      </c>
      <c r="AR46" s="69">
        <f t="shared" ref="AR46" si="114">AVERAGE(AR41:AR45)</f>
        <v>2600</v>
      </c>
    </row>
    <row r="47" spans="2:44" ht="23.45" customHeight="1" thickBot="1" x14ac:dyDescent="0.35"/>
    <row r="48" spans="2:44" ht="6.6" customHeight="1" x14ac:dyDescent="0.3">
      <c r="B48" s="48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50"/>
    </row>
    <row r="49" spans="2:44" ht="26.25" x14ac:dyDescent="0.3">
      <c r="B49" s="51"/>
      <c r="C49" s="72" t="str">
        <f>H3</f>
        <v>Q3 2023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4"/>
      <c r="AR49" s="75"/>
    </row>
    <row r="50" spans="2:44" ht="15.6" customHeight="1" x14ac:dyDescent="0.3">
      <c r="B50" s="52"/>
      <c r="C50" s="53" t="s">
        <v>42</v>
      </c>
      <c r="D50" s="53" t="s">
        <v>43</v>
      </c>
      <c r="E50" s="54" t="s">
        <v>44</v>
      </c>
      <c r="F50" s="53" t="s">
        <v>42</v>
      </c>
      <c r="G50" s="53" t="s">
        <v>43</v>
      </c>
      <c r="H50" s="54" t="s">
        <v>44</v>
      </c>
      <c r="I50" s="53" t="s">
        <v>42</v>
      </c>
      <c r="J50" s="53" t="s">
        <v>43</v>
      </c>
      <c r="K50" s="54" t="s">
        <v>44</v>
      </c>
      <c r="L50" s="53" t="s">
        <v>42</v>
      </c>
      <c r="M50" s="53" t="s">
        <v>43</v>
      </c>
      <c r="N50" s="54" t="s">
        <v>44</v>
      </c>
      <c r="O50" s="53" t="s">
        <v>42</v>
      </c>
      <c r="P50" s="53" t="s">
        <v>43</v>
      </c>
      <c r="Q50" s="54" t="s">
        <v>44</v>
      </c>
      <c r="R50" s="53" t="s">
        <v>42</v>
      </c>
      <c r="S50" s="53" t="s">
        <v>43</v>
      </c>
      <c r="T50" s="54" t="s">
        <v>44</v>
      </c>
      <c r="U50" s="53" t="s">
        <v>42</v>
      </c>
      <c r="V50" s="53" t="s">
        <v>43</v>
      </c>
      <c r="W50" s="55" t="s">
        <v>44</v>
      </c>
      <c r="X50" s="53" t="s">
        <v>42</v>
      </c>
      <c r="Y50" s="53" t="s">
        <v>43</v>
      </c>
      <c r="Z50" s="55" t="s">
        <v>44</v>
      </c>
      <c r="AA50" s="53" t="s">
        <v>42</v>
      </c>
      <c r="AB50" s="53" t="s">
        <v>43</v>
      </c>
      <c r="AC50" s="55" t="s">
        <v>44</v>
      </c>
      <c r="AD50" s="53" t="s">
        <v>42</v>
      </c>
      <c r="AE50" s="53" t="s">
        <v>43</v>
      </c>
      <c r="AF50" s="53" t="s">
        <v>44</v>
      </c>
      <c r="AG50" s="71" t="s">
        <v>42</v>
      </c>
      <c r="AH50" s="53" t="s">
        <v>43</v>
      </c>
      <c r="AI50" s="55" t="s">
        <v>44</v>
      </c>
      <c r="AJ50" s="53" t="s">
        <v>42</v>
      </c>
      <c r="AK50" s="53" t="s">
        <v>43</v>
      </c>
      <c r="AL50" s="55" t="s">
        <v>44</v>
      </c>
      <c r="AM50" s="53" t="s">
        <v>42</v>
      </c>
      <c r="AN50" s="53" t="s">
        <v>43</v>
      </c>
      <c r="AO50" s="55" t="s">
        <v>44</v>
      </c>
      <c r="AP50" s="53" t="s">
        <v>42</v>
      </c>
      <c r="AQ50" s="56" t="s">
        <v>43</v>
      </c>
      <c r="AR50" s="57" t="s">
        <v>44</v>
      </c>
    </row>
    <row r="51" spans="2:44" ht="51" customHeight="1" x14ac:dyDescent="0.3">
      <c r="B51" s="51"/>
      <c r="C51" s="58" t="s">
        <v>20</v>
      </c>
      <c r="D51" s="58" t="s">
        <v>20</v>
      </c>
      <c r="E51" s="59" t="s">
        <v>20</v>
      </c>
      <c r="F51" s="58" t="s">
        <v>21</v>
      </c>
      <c r="G51" s="58" t="s">
        <v>21</v>
      </c>
      <c r="H51" s="59" t="s">
        <v>21</v>
      </c>
      <c r="I51" s="60" t="s">
        <v>22</v>
      </c>
      <c r="J51" s="60" t="s">
        <v>22</v>
      </c>
      <c r="K51" s="61" t="s">
        <v>22</v>
      </c>
      <c r="L51" s="60" t="s">
        <v>58</v>
      </c>
      <c r="M51" s="60" t="s">
        <v>58</v>
      </c>
      <c r="N51" s="61" t="s">
        <v>58</v>
      </c>
      <c r="O51" s="60" t="s">
        <v>60</v>
      </c>
      <c r="P51" s="60" t="s">
        <v>60</v>
      </c>
      <c r="Q51" s="61" t="s">
        <v>60</v>
      </c>
      <c r="R51" s="60" t="s">
        <v>23</v>
      </c>
      <c r="S51" s="60" t="s">
        <v>23</v>
      </c>
      <c r="T51" s="61" t="s">
        <v>23</v>
      </c>
      <c r="U51" s="60" t="s">
        <v>24</v>
      </c>
      <c r="V51" s="60" t="s">
        <v>24</v>
      </c>
      <c r="W51" s="61" t="s">
        <v>24</v>
      </c>
      <c r="X51" s="60" t="s">
        <v>7</v>
      </c>
      <c r="Y51" s="60" t="s">
        <v>7</v>
      </c>
      <c r="Z51" s="61" t="s">
        <v>7</v>
      </c>
      <c r="AA51" s="60" t="s">
        <v>26</v>
      </c>
      <c r="AB51" s="60" t="s">
        <v>26</v>
      </c>
      <c r="AC51" s="61" t="s">
        <v>26</v>
      </c>
      <c r="AD51" s="60" t="s">
        <v>29</v>
      </c>
      <c r="AE51" s="60" t="s">
        <v>29</v>
      </c>
      <c r="AF51" s="60" t="s">
        <v>29</v>
      </c>
      <c r="AG51" s="62" t="s">
        <v>74</v>
      </c>
      <c r="AH51" s="60" t="s">
        <v>74</v>
      </c>
      <c r="AI51" s="61" t="s">
        <v>74</v>
      </c>
      <c r="AJ51" s="60" t="s">
        <v>31</v>
      </c>
      <c r="AK51" s="60" t="s">
        <v>31</v>
      </c>
      <c r="AL51" s="61" t="s">
        <v>30</v>
      </c>
      <c r="AM51" s="60" t="s">
        <v>32</v>
      </c>
      <c r="AN51" s="60" t="s">
        <v>32</v>
      </c>
      <c r="AO51" s="61" t="s">
        <v>32</v>
      </c>
      <c r="AP51" s="60" t="s">
        <v>34</v>
      </c>
      <c r="AQ51" s="60" t="s">
        <v>34</v>
      </c>
      <c r="AR51" s="63" t="s">
        <v>34</v>
      </c>
    </row>
    <row r="52" spans="2:44" x14ac:dyDescent="0.3">
      <c r="B52" s="32" t="s">
        <v>52</v>
      </c>
      <c r="C52" s="33" cm="1">
        <f t="array" ref="C52">INDEX(표2[매출액],MATCH($B52&amp;C$50,표2[이름]&amp;표2[월],0),1)</f>
        <v>157000</v>
      </c>
      <c r="D52" s="33" cm="1">
        <f t="array" ref="D52">INDEX(표2[매출액],MATCH($B52&amp;D$50,표2[이름]&amp;표2[월],0),1)</f>
        <v>118000</v>
      </c>
      <c r="E52" s="34" cm="1">
        <f t="array" ref="E52">INDEX(표2[매출액],MATCH($B52&amp;E$50,표2[이름]&amp;표2[월],0),1)</f>
        <v>118000</v>
      </c>
      <c r="F52" s="33" cm="1">
        <f t="array" ref="F52">INDEX(표2[목표매출액],MATCH($B52&amp;F$50,표2[이름]&amp;표2[월],0),1)</f>
        <v>128000</v>
      </c>
      <c r="G52" s="33" cm="1">
        <f t="array" ref="G52">INDEX(표2[목표매출액],MATCH($B52&amp;G$50,표2[이름]&amp;표2[월],0),1)</f>
        <v>162000</v>
      </c>
      <c r="H52" s="34" cm="1">
        <f t="array" ref="H52">INDEX(표2[목표매출액],MATCH($B52&amp;H$50,표2[이름]&amp;표2[월],0),1)</f>
        <v>130000</v>
      </c>
      <c r="I52" s="33" cm="1">
        <f t="array" ref="I52">INDEX(표2[전년도매출액],MATCH($B52&amp;I$50,표2[이름]&amp;표2[월],0),1)</f>
        <v>103000</v>
      </c>
      <c r="J52" s="33" cm="1">
        <f t="array" ref="J52">INDEX(표2[전년도매출액],MATCH($B52&amp;J$50,표2[이름]&amp;표2[월],0),1)</f>
        <v>151000</v>
      </c>
      <c r="K52" s="34" cm="1">
        <f t="array" ref="K52">INDEX(표2[전년도매출액],MATCH($B52&amp;K$50,표2[이름]&amp;표2[월],0),1)</f>
        <v>119000</v>
      </c>
      <c r="L52" s="35" cm="1">
        <f t="array" ref="L52">INDEX(표2[전체고객수],MATCH($B52&amp;L$50,표2[이름]&amp;표2[월],0),1)</f>
        <v>35</v>
      </c>
      <c r="M52" s="35" cm="1">
        <f t="array" ref="M52">INDEX(표2[전체고객수],MATCH($B52&amp;M$50,표2[이름]&amp;표2[월],0),1)</f>
        <v>55</v>
      </c>
      <c r="N52" s="36" cm="1">
        <f t="array" ref="N52">INDEX(표2[전체고객수],MATCH($B52&amp;N$50,표2[이름]&amp;표2[월],0),1)</f>
        <v>60</v>
      </c>
      <c r="O52" s="35" cm="1">
        <f t="array" ref="O52">INDEX(표2[목표신규고객수],MATCH($B52&amp;O$50,표2[이름]&amp;표2[월],0),1)</f>
        <v>39</v>
      </c>
      <c r="P52" s="35" cm="1">
        <f t="array" ref="P52">INDEX(표2[목표신규고객수],MATCH($B52&amp;P$50,표2[이름]&amp;표2[월],0),1)</f>
        <v>80</v>
      </c>
      <c r="Q52" s="36" cm="1">
        <f t="array" ref="Q52">INDEX(표2[목표신규고객수],MATCH($B52&amp;Q$50,표2[이름]&amp;표2[월],0),1)</f>
        <v>52</v>
      </c>
      <c r="R52" s="35" cm="1">
        <f t="array" ref="R52">INDEX(표2[신규고객수],MATCH($B52&amp;R$50,표2[이름]&amp;표2[월],0),1)</f>
        <v>5</v>
      </c>
      <c r="S52" s="35" cm="1">
        <f t="array" ref="S52">INDEX(표2[신규고객수],MATCH($B52&amp;S$50,표2[이름]&amp;표2[월],0),1)</f>
        <v>15</v>
      </c>
      <c r="T52" s="36" cm="1">
        <f t="array" ref="T52">INDEX(표2[신규고객수],MATCH($B52&amp;T$50,표2[이름]&amp;표2[월],0),1)</f>
        <v>17</v>
      </c>
      <c r="U52" s="35" cm="1">
        <f t="array" ref="U52">INDEX(표2[전년도신규고객수],MATCH($B52&amp;U$50,표2[이름]&amp;표2[월],0),1)</f>
        <v>9</v>
      </c>
      <c r="V52" s="35" cm="1">
        <f t="array" ref="V52">INDEX(표2[전년도신규고객수],MATCH($B52&amp;V$50,표2[이름]&amp;표2[월],0),1)</f>
        <v>16</v>
      </c>
      <c r="W52" s="36" cm="1">
        <f t="array" ref="W52">INDEX(표2[전년도신규고객수],MATCH($B52&amp;W$50,표2[이름]&amp;표2[월],0),1)</f>
        <v>19</v>
      </c>
      <c r="X52" s="33" cm="1">
        <f t="array" ref="X52">INDEX(표2[고객확보비용],MATCH($B52&amp;X$50,표2[이름]&amp;표2[월],0),1)</f>
        <v>5900</v>
      </c>
      <c r="Y52" s="33" cm="1">
        <f t="array" ref="Y52">INDEX(표2[고객확보비용],MATCH($B52&amp;Y$50,표2[이름]&amp;표2[월],0),1)</f>
        <v>6500</v>
      </c>
      <c r="Z52" s="34" cm="1">
        <f t="array" ref="Z52">INDEX(표2[고객확보비용],MATCH($B52&amp;Z$50,표2[이름]&amp;표2[월],0),1)</f>
        <v>9600</v>
      </c>
      <c r="AA52" s="33">
        <f>X52/R52</f>
        <v>1180</v>
      </c>
      <c r="AB52" s="33">
        <f t="shared" ref="AB52:AB56" si="115">Y52/S52</f>
        <v>433.33333333333331</v>
      </c>
      <c r="AC52" s="34">
        <f t="shared" ref="AC52:AC56" si="116">Z52/T52</f>
        <v>564.70588235294122</v>
      </c>
      <c r="AD52" s="33" cm="1">
        <f t="array" ref="AD52">INDEX(표2[고객확보비용목표(고객당)],MATCH($B52&amp;AD$50,표2[이름]&amp;표2[월],0),1)</f>
        <v>350</v>
      </c>
      <c r="AE52" s="33" cm="1">
        <f t="array" ref="AE52">INDEX(표2[고객확보비용목표(고객당)],MATCH($B52&amp;AE$50,표2[이름]&amp;표2[월],0),1)</f>
        <v>450</v>
      </c>
      <c r="AF52" s="34" cm="1">
        <f t="array" ref="AF52">INDEX(표2[고객확보비용목표(고객당)],MATCH($B52&amp;AF$50,표2[이름]&amp;표2[월],0),1)</f>
        <v>350</v>
      </c>
      <c r="AG52" s="33" cm="1">
        <f t="array" ref="AG52">INDEX(표2[전년도고객확보비용(고객당)],MATCH($B52&amp;AG$50,표2[이름]&amp;표2[월],0),1)</f>
        <v>353</v>
      </c>
      <c r="AH52" s="33" cm="1">
        <f t="array" ref="AH52">INDEX(표2[전년도고객확보비용(고객당)],MATCH($B52&amp;AH$50,표2[이름]&amp;표2[월],0),1)</f>
        <v>388</v>
      </c>
      <c r="AI52" s="34" cm="1">
        <f t="array" ref="AI52">INDEX(표2[전년도고객확보비용(고객당)],MATCH($B52&amp;AI$50,표2[이름]&amp;표2[월],0),1)</f>
        <v>365</v>
      </c>
      <c r="AJ52" s="33">
        <f>C52/L52</f>
        <v>4485.7142857142853</v>
      </c>
      <c r="AK52" s="33">
        <f t="shared" ref="AK52:AK56" si="117">D52/M52</f>
        <v>2145.4545454545455</v>
      </c>
      <c r="AL52" s="34">
        <f t="shared" ref="AL52:AL56" si="118">E52/N52</f>
        <v>1966.6666666666667</v>
      </c>
      <c r="AM52" s="33" cm="1">
        <f t="array" ref="AM52">INDEX(표2[전년도매출액(고객당)],MATCH($B52&amp;AM$50,표2[이름]&amp;표2[월],0),1)</f>
        <v>2200</v>
      </c>
      <c r="AN52" s="33" cm="1">
        <f t="array" ref="AN52">INDEX(표2[전년도매출액(고객당)],MATCH($B52&amp;AN$50,표2[이름]&amp;표2[월],0),1)</f>
        <v>2300</v>
      </c>
      <c r="AO52" s="34" cm="1">
        <f t="array" ref="AO52">INDEX(표2[전년도매출액(고객당)],MATCH($B52&amp;AO$50,표2[이름]&amp;표2[월],0),1)</f>
        <v>2400</v>
      </c>
      <c r="AP52" s="33" cm="1">
        <f t="array" ref="AP52">INDEX(표2[목표매출액(고객당)],MATCH($B52&amp;AP$50,표2[이름]&amp;표2[월],0),1)</f>
        <v>2200</v>
      </c>
      <c r="AQ52" s="33" cm="1">
        <f t="array" ref="AQ52">INDEX(표2[목표매출액(고객당)],MATCH($B52&amp;AQ$50,표2[이름]&amp;표2[월],0),1)</f>
        <v>2300</v>
      </c>
      <c r="AR52" s="37" cm="1">
        <f t="array" ref="AR52">INDEX(표2[목표매출액(고객당)],MATCH($B52&amp;AR$50,표2[이름]&amp;표2[월],0),1)</f>
        <v>2500</v>
      </c>
    </row>
    <row r="53" spans="2:44" x14ac:dyDescent="0.3">
      <c r="B53" s="32" t="s">
        <v>53</v>
      </c>
      <c r="C53" s="33" cm="1">
        <f t="array" ref="C53">INDEX(표2[매출액],MATCH($B53&amp;C$50,표2[이름]&amp;표2[월],0),1)</f>
        <v>154000</v>
      </c>
      <c r="D53" s="33" cm="1">
        <f t="array" ref="D53">INDEX(표2[매출액],MATCH($B53&amp;D$50,표2[이름]&amp;표2[월],0),1)</f>
        <v>153000</v>
      </c>
      <c r="E53" s="34" cm="1">
        <f t="array" ref="E53">INDEX(표2[매출액],MATCH($B53&amp;E$50,표2[이름]&amp;표2[월],0),1)</f>
        <v>146000</v>
      </c>
      <c r="F53" s="33" cm="1">
        <f t="array" ref="F53">INDEX(표2[목표매출액],MATCH($B53&amp;F$50,표2[이름]&amp;표2[월],0),1)</f>
        <v>109000</v>
      </c>
      <c r="G53" s="33" cm="1">
        <f t="array" ref="G53">INDEX(표2[목표매출액],MATCH($B53&amp;G$50,표2[이름]&amp;표2[월],0),1)</f>
        <v>159000</v>
      </c>
      <c r="H53" s="34" cm="1">
        <f t="array" ref="H53">INDEX(표2[목표매출액],MATCH($B53&amp;H$50,표2[이름]&amp;표2[월],0),1)</f>
        <v>164000</v>
      </c>
      <c r="I53" s="33" cm="1">
        <f t="array" ref="I53">INDEX(표2[전년도매출액],MATCH($B53&amp;I$50,표2[이름]&amp;표2[월],0),1)</f>
        <v>112000</v>
      </c>
      <c r="J53" s="33" cm="1">
        <f t="array" ref="J53">INDEX(표2[전년도매출액],MATCH($B53&amp;J$50,표2[이름]&amp;표2[월],0),1)</f>
        <v>145000</v>
      </c>
      <c r="K53" s="34" cm="1">
        <f t="array" ref="K53">INDEX(표2[전년도매출액],MATCH($B53&amp;K$50,표2[이름]&amp;표2[월],0),1)</f>
        <v>173000</v>
      </c>
      <c r="L53" s="35" cm="1">
        <f t="array" ref="L53">INDEX(표2[전체고객수],MATCH($B53&amp;L$50,표2[이름]&amp;표2[월],0),1)</f>
        <v>40</v>
      </c>
      <c r="M53" s="35" cm="1">
        <f t="array" ref="M53">INDEX(표2[전체고객수],MATCH($B53&amp;M$50,표2[이름]&amp;표2[월],0),1)</f>
        <v>62</v>
      </c>
      <c r="N53" s="36" cm="1">
        <f t="array" ref="N53">INDEX(표2[전체고객수],MATCH($B53&amp;N$50,표2[이름]&amp;표2[월],0),1)</f>
        <v>65</v>
      </c>
      <c r="O53" s="35" cm="1">
        <f t="array" ref="O53">INDEX(표2[목표신규고객수],MATCH($B53&amp;O$50,표2[이름]&amp;표2[월],0),1)</f>
        <v>65</v>
      </c>
      <c r="P53" s="35" cm="1">
        <f t="array" ref="P53">INDEX(표2[목표신규고객수],MATCH($B53&amp;P$50,표2[이름]&amp;표2[월],0),1)</f>
        <v>47</v>
      </c>
      <c r="Q53" s="36" cm="1">
        <f t="array" ref="Q53">INDEX(표2[목표신규고객수],MATCH($B53&amp;Q$50,표2[이름]&amp;표2[월],0),1)</f>
        <v>38</v>
      </c>
      <c r="R53" s="35" cm="1">
        <f t="array" ref="R53">INDEX(표2[신규고객수],MATCH($B53&amp;R$50,표2[이름]&amp;표2[월],0),1)</f>
        <v>4</v>
      </c>
      <c r="S53" s="35" cm="1">
        <f t="array" ref="S53">INDEX(표2[신규고객수],MATCH($B53&amp;S$50,표2[이름]&amp;표2[월],0),1)</f>
        <v>9</v>
      </c>
      <c r="T53" s="36" cm="1">
        <f t="array" ref="T53">INDEX(표2[신규고객수],MATCH($B53&amp;T$50,표2[이름]&amp;표2[월],0),1)</f>
        <v>12</v>
      </c>
      <c r="U53" s="35" cm="1">
        <f t="array" ref="U53">INDEX(표2[전년도신규고객수],MATCH($B53&amp;U$50,표2[이름]&amp;표2[월],0),1)</f>
        <v>10</v>
      </c>
      <c r="V53" s="35" cm="1">
        <f t="array" ref="V53">INDEX(표2[전년도신규고객수],MATCH($B53&amp;V$50,표2[이름]&amp;표2[월],0),1)</f>
        <v>24</v>
      </c>
      <c r="W53" s="36" cm="1">
        <f t="array" ref="W53">INDEX(표2[전년도신규고객수],MATCH($B53&amp;W$50,표2[이름]&amp;표2[월],0),1)</f>
        <v>12</v>
      </c>
      <c r="X53" s="33" cm="1">
        <f t="array" ref="X53">INDEX(표2[고객확보비용],MATCH($B53&amp;X$50,표2[이름]&amp;표2[월],0),1)</f>
        <v>5200</v>
      </c>
      <c r="Y53" s="33" cm="1">
        <f t="array" ref="Y53">INDEX(표2[고객확보비용],MATCH($B53&amp;Y$50,표2[이름]&amp;표2[월],0),1)</f>
        <v>5700</v>
      </c>
      <c r="Z53" s="34" cm="1">
        <f t="array" ref="Z53">INDEX(표2[고객확보비용],MATCH($B53&amp;Z$50,표2[이름]&amp;표2[월],0),1)</f>
        <v>9100</v>
      </c>
      <c r="AA53" s="33">
        <f t="shared" ref="AA53:AA56" si="119">X53/R53</f>
        <v>1300</v>
      </c>
      <c r="AB53" s="33">
        <f t="shared" si="115"/>
        <v>633.33333333333337</v>
      </c>
      <c r="AC53" s="34">
        <f t="shared" si="116"/>
        <v>758.33333333333337</v>
      </c>
      <c r="AD53" s="33" cm="1">
        <f t="array" ref="AD53">INDEX(표2[고객확보비용목표(고객당)],MATCH($B53&amp;AD$50,표2[이름]&amp;표2[월],0),1)</f>
        <v>350</v>
      </c>
      <c r="AE53" s="33" cm="1">
        <f t="array" ref="AE53">INDEX(표2[고객확보비용목표(고객당)],MATCH($B53&amp;AE$50,표2[이름]&amp;표2[월],0),1)</f>
        <v>450</v>
      </c>
      <c r="AF53" s="34" cm="1">
        <f t="array" ref="AF53">INDEX(표2[고객확보비용목표(고객당)],MATCH($B53&amp;AF$50,표2[이름]&amp;표2[월],0),1)</f>
        <v>350</v>
      </c>
      <c r="AG53" s="33" cm="1">
        <f t="array" ref="AG53">INDEX(표2[전년도고객확보비용(고객당)],MATCH($B53&amp;AG$50,표2[이름]&amp;표2[월],0),1)</f>
        <v>383</v>
      </c>
      <c r="AH53" s="33" cm="1">
        <f t="array" ref="AH53">INDEX(표2[전년도고객확보비용(고객당)],MATCH($B53&amp;AH$50,표2[이름]&amp;표2[월],0),1)</f>
        <v>355</v>
      </c>
      <c r="AI53" s="34" cm="1">
        <f t="array" ref="AI53">INDEX(표2[전년도고객확보비용(고객당)],MATCH($B53&amp;AI$50,표2[이름]&amp;표2[월],0),1)</f>
        <v>363</v>
      </c>
      <c r="AJ53" s="33">
        <f t="shared" ref="AJ53:AJ56" si="120">C53/L53</f>
        <v>3850</v>
      </c>
      <c r="AK53" s="33">
        <f t="shared" si="117"/>
        <v>2467.7419354838707</v>
      </c>
      <c r="AL53" s="34">
        <f t="shared" si="118"/>
        <v>2246.1538461538462</v>
      </c>
      <c r="AM53" s="33" cm="1">
        <f t="array" ref="AM53">INDEX(표2[전년도매출액(고객당)],MATCH($B53&amp;AM$50,표2[이름]&amp;표2[월],0),1)</f>
        <v>2400</v>
      </c>
      <c r="AN53" s="33" cm="1">
        <f t="array" ref="AN53">INDEX(표2[전년도매출액(고객당)],MATCH($B53&amp;AN$50,표2[이름]&amp;표2[월],0),1)</f>
        <v>3200</v>
      </c>
      <c r="AO53" s="34" cm="1">
        <f t="array" ref="AO53">INDEX(표2[전년도매출액(고객당)],MATCH($B53&amp;AO$50,표2[이름]&amp;표2[월],0),1)</f>
        <v>2900</v>
      </c>
      <c r="AP53" s="33" cm="1">
        <f t="array" ref="AP53">INDEX(표2[목표매출액(고객당)],MATCH($B53&amp;AP$50,표2[이름]&amp;표2[월],0),1)</f>
        <v>2200</v>
      </c>
      <c r="AQ53" s="33" cm="1">
        <f t="array" ref="AQ53">INDEX(표2[목표매출액(고객당)],MATCH($B53&amp;AQ$50,표2[이름]&amp;표2[월],0),1)</f>
        <v>2300</v>
      </c>
      <c r="AR53" s="37" cm="1">
        <f t="array" ref="AR53">INDEX(표2[목표매출액(고객당)],MATCH($B53&amp;AR$50,표2[이름]&amp;표2[월],0),1)</f>
        <v>2500</v>
      </c>
    </row>
    <row r="54" spans="2:44" x14ac:dyDescent="0.3">
      <c r="B54" s="32" t="s">
        <v>54</v>
      </c>
      <c r="C54" s="33" cm="1">
        <f t="array" ref="C54">INDEX(표2[매출액],MATCH($B54&amp;C$50,표2[이름]&amp;표2[월],0),1)</f>
        <v>111000</v>
      </c>
      <c r="D54" s="33" cm="1">
        <f t="array" ref="D54">INDEX(표2[매출액],MATCH($B54&amp;D$50,표2[이름]&amp;표2[월],0),1)</f>
        <v>148000</v>
      </c>
      <c r="E54" s="34" cm="1">
        <f t="array" ref="E54">INDEX(표2[매출액],MATCH($B54&amp;E$50,표2[이름]&amp;표2[월],0),1)</f>
        <v>110000</v>
      </c>
      <c r="F54" s="33" cm="1">
        <f t="array" ref="F54">INDEX(표2[목표매출액],MATCH($B54&amp;F$50,표2[이름]&amp;표2[월],0),1)</f>
        <v>140000</v>
      </c>
      <c r="G54" s="33" cm="1">
        <f t="array" ref="G54">INDEX(표2[목표매출액],MATCH($B54&amp;G$50,표2[이름]&amp;표2[월],0),1)</f>
        <v>159000</v>
      </c>
      <c r="H54" s="34" cm="1">
        <f t="array" ref="H54">INDEX(표2[목표매출액],MATCH($B54&amp;H$50,표2[이름]&amp;표2[월],0),1)</f>
        <v>150000</v>
      </c>
      <c r="I54" s="33" cm="1">
        <f t="array" ref="I54">INDEX(표2[전년도매출액],MATCH($B54&amp;I$50,표2[이름]&amp;표2[월],0),1)</f>
        <v>139000</v>
      </c>
      <c r="J54" s="33" cm="1">
        <f t="array" ref="J54">INDEX(표2[전년도매출액],MATCH($B54&amp;J$50,표2[이름]&amp;표2[월],0),1)</f>
        <v>195000</v>
      </c>
      <c r="K54" s="34" cm="1">
        <f t="array" ref="K54">INDEX(표2[전년도매출액],MATCH($B54&amp;K$50,표2[이름]&amp;표2[월],0),1)</f>
        <v>103000</v>
      </c>
      <c r="L54" s="35" cm="1">
        <f t="array" ref="L54">INDEX(표2[전체고객수],MATCH($B54&amp;L$50,표2[이름]&amp;표2[월],0),1)</f>
        <v>81</v>
      </c>
      <c r="M54" s="35" cm="1">
        <f t="array" ref="M54">INDEX(표2[전체고객수],MATCH($B54&amp;M$50,표2[이름]&amp;표2[월],0),1)</f>
        <v>63</v>
      </c>
      <c r="N54" s="36" cm="1">
        <f t="array" ref="N54">INDEX(표2[전체고객수],MATCH($B54&amp;N$50,표2[이름]&amp;표2[월],0),1)</f>
        <v>63</v>
      </c>
      <c r="O54" s="35" cm="1">
        <f t="array" ref="O54">INDEX(표2[목표신규고객수],MATCH($B54&amp;O$50,표2[이름]&amp;표2[월],0),1)</f>
        <v>50</v>
      </c>
      <c r="P54" s="35" cm="1">
        <f t="array" ref="P54">INDEX(표2[목표신규고객수],MATCH($B54&amp;P$50,표2[이름]&amp;표2[월],0),1)</f>
        <v>83</v>
      </c>
      <c r="Q54" s="36" cm="1">
        <f t="array" ref="Q54">INDEX(표2[목표신규고객수],MATCH($B54&amp;Q$50,표2[이름]&amp;표2[월],0),1)</f>
        <v>59</v>
      </c>
      <c r="R54" s="35" cm="1">
        <f t="array" ref="R54">INDEX(표2[신규고객수],MATCH($B54&amp;R$50,표2[이름]&amp;표2[월],0),1)</f>
        <v>17</v>
      </c>
      <c r="S54" s="35" cm="1">
        <f t="array" ref="S54">INDEX(표2[신규고객수],MATCH($B54&amp;S$50,표2[이름]&amp;표2[월],0),1)</f>
        <v>8</v>
      </c>
      <c r="T54" s="36" cm="1">
        <f t="array" ref="T54">INDEX(표2[신규고객수],MATCH($B54&amp;T$50,표2[이름]&amp;표2[월],0),1)</f>
        <v>11</v>
      </c>
      <c r="U54" s="35" cm="1">
        <f t="array" ref="U54">INDEX(표2[전년도신규고객수],MATCH($B54&amp;U$50,표2[이름]&amp;표2[월],0),1)</f>
        <v>25</v>
      </c>
      <c r="V54" s="35" cm="1">
        <f t="array" ref="V54">INDEX(표2[전년도신규고객수],MATCH($B54&amp;V$50,표2[이름]&amp;표2[월],0),1)</f>
        <v>11</v>
      </c>
      <c r="W54" s="36" cm="1">
        <f t="array" ref="W54">INDEX(표2[전년도신규고객수],MATCH($B54&amp;W$50,표2[이름]&amp;표2[월],0),1)</f>
        <v>9</v>
      </c>
      <c r="X54" s="33" cm="1">
        <f t="array" ref="X54">INDEX(표2[고객확보비용],MATCH($B54&amp;X$50,표2[이름]&amp;표2[월],0),1)</f>
        <v>10400</v>
      </c>
      <c r="Y54" s="33" cm="1">
        <f t="array" ref="Y54">INDEX(표2[고객확보비용],MATCH($B54&amp;Y$50,표2[이름]&amp;표2[월],0),1)</f>
        <v>8600</v>
      </c>
      <c r="Z54" s="34" cm="1">
        <f t="array" ref="Z54">INDEX(표2[고객확보비용],MATCH($B54&amp;Z$50,표2[이름]&amp;표2[월],0),1)</f>
        <v>10500</v>
      </c>
      <c r="AA54" s="33">
        <f t="shared" si="119"/>
        <v>611.76470588235293</v>
      </c>
      <c r="AB54" s="33">
        <f t="shared" si="115"/>
        <v>1075</v>
      </c>
      <c r="AC54" s="34">
        <f t="shared" si="116"/>
        <v>954.5454545454545</v>
      </c>
      <c r="AD54" s="33" cm="1">
        <f t="array" ref="AD54">INDEX(표2[고객확보비용목표(고객당)],MATCH($B54&amp;AD$50,표2[이름]&amp;표2[월],0),1)</f>
        <v>350</v>
      </c>
      <c r="AE54" s="33" cm="1">
        <f t="array" ref="AE54">INDEX(표2[고객확보비용목표(고객당)],MATCH($B54&amp;AE$50,표2[이름]&amp;표2[월],0),1)</f>
        <v>450</v>
      </c>
      <c r="AF54" s="34" cm="1">
        <f t="array" ref="AF54">INDEX(표2[고객확보비용목표(고객당)],MATCH($B54&amp;AF$50,표2[이름]&amp;표2[월],0),1)</f>
        <v>350</v>
      </c>
      <c r="AG54" s="33" cm="1">
        <f t="array" ref="AG54">INDEX(표2[전년도고객확보비용(고객당)],MATCH($B54&amp;AG$50,표2[이름]&amp;표2[월],0),1)</f>
        <v>395</v>
      </c>
      <c r="AH54" s="33" cm="1">
        <f t="array" ref="AH54">INDEX(표2[전년도고객확보비용(고객당)],MATCH($B54&amp;AH$50,표2[이름]&amp;표2[월],0),1)</f>
        <v>376</v>
      </c>
      <c r="AI54" s="34" cm="1">
        <f t="array" ref="AI54">INDEX(표2[전년도고객확보비용(고객당)],MATCH($B54&amp;AI$50,표2[이름]&amp;표2[월],0),1)</f>
        <v>385</v>
      </c>
      <c r="AJ54" s="33">
        <f t="shared" si="120"/>
        <v>1370.3703703703704</v>
      </c>
      <c r="AK54" s="33">
        <f t="shared" si="117"/>
        <v>2349.2063492063494</v>
      </c>
      <c r="AL54" s="34">
        <f t="shared" si="118"/>
        <v>1746.031746031746</v>
      </c>
      <c r="AM54" s="33" cm="1">
        <f t="array" ref="AM54">INDEX(표2[전년도매출액(고객당)],MATCH($B54&amp;AM$50,표2[이름]&amp;표2[월],0),1)</f>
        <v>2400</v>
      </c>
      <c r="AN54" s="33" cm="1">
        <f t="array" ref="AN54">INDEX(표2[전년도매출액(고객당)],MATCH($B54&amp;AN$50,표2[이름]&amp;표2[월],0),1)</f>
        <v>2200</v>
      </c>
      <c r="AO54" s="34" cm="1">
        <f t="array" ref="AO54">INDEX(표2[전년도매출액(고객당)],MATCH($B54&amp;AO$50,표2[이름]&amp;표2[월],0),1)</f>
        <v>2100</v>
      </c>
      <c r="AP54" s="33" cm="1">
        <f t="array" ref="AP54">INDEX(표2[목표매출액(고객당)],MATCH($B54&amp;AP$50,표2[이름]&amp;표2[월],0),1)</f>
        <v>2200</v>
      </c>
      <c r="AQ54" s="33" cm="1">
        <f t="array" ref="AQ54">INDEX(표2[목표매출액(고객당)],MATCH($B54&amp;AQ$50,표2[이름]&amp;표2[월],0),1)</f>
        <v>2300</v>
      </c>
      <c r="AR54" s="37" cm="1">
        <f t="array" ref="AR54">INDEX(표2[목표매출액(고객당)],MATCH($B54&amp;AR$50,표2[이름]&amp;표2[월],0),1)</f>
        <v>2500</v>
      </c>
    </row>
    <row r="55" spans="2:44" x14ac:dyDescent="0.3">
      <c r="B55" s="32" t="s">
        <v>55</v>
      </c>
      <c r="C55" s="33" cm="1">
        <f t="array" ref="C55">INDEX(표2[매출액],MATCH($B55&amp;C$50,표2[이름]&amp;표2[월],0),1)</f>
        <v>104000</v>
      </c>
      <c r="D55" s="33" cm="1">
        <f t="array" ref="D55">INDEX(표2[매출액],MATCH($B55&amp;D$50,표2[이름]&amp;표2[월],0),1)</f>
        <v>121000</v>
      </c>
      <c r="E55" s="34" cm="1">
        <f t="array" ref="E55">INDEX(표2[매출액],MATCH($B55&amp;E$50,표2[이름]&amp;표2[월],0),1)</f>
        <v>196000</v>
      </c>
      <c r="F55" s="33" cm="1">
        <f t="array" ref="F55">INDEX(표2[목표매출액],MATCH($B55&amp;F$50,표2[이름]&amp;표2[월],0),1)</f>
        <v>128000</v>
      </c>
      <c r="G55" s="33" cm="1">
        <f t="array" ref="G55">INDEX(표2[목표매출액],MATCH($B55&amp;G$50,표2[이름]&amp;표2[월],0),1)</f>
        <v>104000</v>
      </c>
      <c r="H55" s="34" cm="1">
        <f t="array" ref="H55">INDEX(표2[목표매출액],MATCH($B55&amp;H$50,표2[이름]&amp;표2[월],0),1)</f>
        <v>155000</v>
      </c>
      <c r="I55" s="33" cm="1">
        <f t="array" ref="I55">INDEX(표2[전년도매출액],MATCH($B55&amp;I$50,표2[이름]&amp;표2[월],0),1)</f>
        <v>127000</v>
      </c>
      <c r="J55" s="33" cm="1">
        <f t="array" ref="J55">INDEX(표2[전년도매출액],MATCH($B55&amp;J$50,표2[이름]&amp;표2[월],0),1)</f>
        <v>152000</v>
      </c>
      <c r="K55" s="34" cm="1">
        <f t="array" ref="K55">INDEX(표2[전년도매출액],MATCH($B55&amp;K$50,표2[이름]&amp;표2[월],0),1)</f>
        <v>102000</v>
      </c>
      <c r="L55" s="35" cm="1">
        <f t="array" ref="L55">INDEX(표2[전체고객수],MATCH($B55&amp;L$50,표2[이름]&amp;표2[월],0),1)</f>
        <v>37</v>
      </c>
      <c r="M55" s="35" cm="1">
        <f t="array" ref="M55">INDEX(표2[전체고객수],MATCH($B55&amp;M$50,표2[이름]&amp;표2[월],0),1)</f>
        <v>62</v>
      </c>
      <c r="N55" s="36" cm="1">
        <f t="array" ref="N55">INDEX(표2[전체고객수],MATCH($B55&amp;N$50,표2[이름]&amp;표2[월],0),1)</f>
        <v>47</v>
      </c>
      <c r="O55" s="35" cm="1">
        <f t="array" ref="O55">INDEX(표2[목표신규고객수],MATCH($B55&amp;O$50,표2[이름]&amp;표2[월],0),1)</f>
        <v>61</v>
      </c>
      <c r="P55" s="35" cm="1">
        <f t="array" ref="P55">INDEX(표2[목표신규고객수],MATCH($B55&amp;P$50,표2[이름]&amp;표2[월],0),1)</f>
        <v>61</v>
      </c>
      <c r="Q55" s="36" cm="1">
        <f t="array" ref="Q55">INDEX(표2[목표신규고객수],MATCH($B55&amp;Q$50,표2[이름]&amp;표2[월],0),1)</f>
        <v>48</v>
      </c>
      <c r="R55" s="35" cm="1">
        <f t="array" ref="R55">INDEX(표2[신규고객수],MATCH($B55&amp;R$50,표2[이름]&amp;표2[월],0),1)</f>
        <v>10</v>
      </c>
      <c r="S55" s="35" cm="1">
        <f t="array" ref="S55">INDEX(표2[신규고객수],MATCH($B55&amp;S$50,표2[이름]&amp;표2[월],0),1)</f>
        <v>15</v>
      </c>
      <c r="T55" s="36" cm="1">
        <f t="array" ref="T55">INDEX(표2[신규고객수],MATCH($B55&amp;T$50,표2[이름]&amp;표2[월],0),1)</f>
        <v>12</v>
      </c>
      <c r="U55" s="35" cm="1">
        <f t="array" ref="U55">INDEX(표2[전년도신규고객수],MATCH($B55&amp;U$50,표2[이름]&amp;표2[월],0),1)</f>
        <v>24</v>
      </c>
      <c r="V55" s="35" cm="1">
        <f t="array" ref="V55">INDEX(표2[전년도신규고객수],MATCH($B55&amp;V$50,표2[이름]&amp;표2[월],0),1)</f>
        <v>11</v>
      </c>
      <c r="W55" s="36" cm="1">
        <f t="array" ref="W55">INDEX(표2[전년도신규고객수],MATCH($B55&amp;W$50,표2[이름]&amp;표2[월],0),1)</f>
        <v>18</v>
      </c>
      <c r="X55" s="33" cm="1">
        <f t="array" ref="X55">INDEX(표2[고객확보비용],MATCH($B55&amp;X$50,표2[이름]&amp;표2[월],0),1)</f>
        <v>7400</v>
      </c>
      <c r="Y55" s="33" cm="1">
        <f t="array" ref="Y55">INDEX(표2[고객확보비용],MATCH($B55&amp;Y$50,표2[이름]&amp;표2[월],0),1)</f>
        <v>10800</v>
      </c>
      <c r="Z55" s="34" cm="1">
        <f t="array" ref="Z55">INDEX(표2[고객확보비용],MATCH($B55&amp;Z$50,표2[이름]&amp;표2[월],0),1)</f>
        <v>7200</v>
      </c>
      <c r="AA55" s="33">
        <f t="shared" si="119"/>
        <v>740</v>
      </c>
      <c r="AB55" s="33">
        <f t="shared" si="115"/>
        <v>720</v>
      </c>
      <c r="AC55" s="34">
        <f t="shared" si="116"/>
        <v>600</v>
      </c>
      <c r="AD55" s="33" cm="1">
        <f t="array" ref="AD55">INDEX(표2[고객확보비용목표(고객당)],MATCH($B55&amp;AD$50,표2[이름]&amp;표2[월],0),1)</f>
        <v>350</v>
      </c>
      <c r="AE55" s="33" cm="1">
        <f t="array" ref="AE55">INDEX(표2[고객확보비용목표(고객당)],MATCH($B55&amp;AE$50,표2[이름]&amp;표2[월],0),1)</f>
        <v>450</v>
      </c>
      <c r="AF55" s="34" cm="1">
        <f t="array" ref="AF55">INDEX(표2[고객확보비용목표(고객당)],MATCH($B55&amp;AF$50,표2[이름]&amp;표2[월],0),1)</f>
        <v>350</v>
      </c>
      <c r="AG55" s="33" cm="1">
        <f t="array" ref="AG55">INDEX(표2[전년도고객확보비용(고객당)],MATCH($B55&amp;AG$50,표2[이름]&amp;표2[월],0),1)</f>
        <v>398</v>
      </c>
      <c r="AH55" s="33" cm="1">
        <f t="array" ref="AH55">INDEX(표2[전년도고객확보비용(고객당)],MATCH($B55&amp;AH$50,표2[이름]&amp;표2[월],0),1)</f>
        <v>358</v>
      </c>
      <c r="AI55" s="34" cm="1">
        <f t="array" ref="AI55">INDEX(표2[전년도고객확보비용(고객당)],MATCH($B55&amp;AI$50,표2[이름]&amp;표2[월],0),1)</f>
        <v>383</v>
      </c>
      <c r="AJ55" s="33">
        <f t="shared" si="120"/>
        <v>2810.8108108108108</v>
      </c>
      <c r="AK55" s="33">
        <f t="shared" si="117"/>
        <v>1951.6129032258063</v>
      </c>
      <c r="AL55" s="34">
        <f t="shared" si="118"/>
        <v>4170.2127659574471</v>
      </c>
      <c r="AM55" s="33" cm="1">
        <f t="array" ref="AM55">INDEX(표2[전년도매출액(고객당)],MATCH($B55&amp;AM$50,표2[이름]&amp;표2[월],0),1)</f>
        <v>2600</v>
      </c>
      <c r="AN55" s="33" cm="1">
        <f t="array" ref="AN55">INDEX(표2[전년도매출액(고객당)],MATCH($B55&amp;AN$50,표2[이름]&amp;표2[월],0),1)</f>
        <v>2200</v>
      </c>
      <c r="AO55" s="34" cm="1">
        <f t="array" ref="AO55">INDEX(표2[전년도매출액(고객당)],MATCH($B55&amp;AO$50,표2[이름]&amp;표2[월],0),1)</f>
        <v>2300</v>
      </c>
      <c r="AP55" s="33" cm="1">
        <f t="array" ref="AP55">INDEX(표2[목표매출액(고객당)],MATCH($B55&amp;AP$50,표2[이름]&amp;표2[월],0),1)</f>
        <v>2200</v>
      </c>
      <c r="AQ55" s="33" cm="1">
        <f t="array" ref="AQ55">INDEX(표2[목표매출액(고객당)],MATCH($B55&amp;AQ$50,표2[이름]&amp;표2[월],0),1)</f>
        <v>2300</v>
      </c>
      <c r="AR55" s="37" cm="1">
        <f t="array" ref="AR55">INDEX(표2[목표매출액(고객당)],MATCH($B55&amp;AR$50,표2[이름]&amp;표2[월],0),1)</f>
        <v>2500</v>
      </c>
    </row>
    <row r="56" spans="2:44" x14ac:dyDescent="0.3">
      <c r="B56" s="32" t="s">
        <v>56</v>
      </c>
      <c r="C56" s="33" cm="1">
        <f t="array" ref="C56">INDEX(표2[매출액],MATCH($B56&amp;C$50,표2[이름]&amp;표2[월],0),1)</f>
        <v>183000</v>
      </c>
      <c r="D56" s="33" cm="1">
        <f t="array" ref="D56">INDEX(표2[매출액],MATCH($B56&amp;D$50,표2[이름]&amp;표2[월],0),1)</f>
        <v>124000</v>
      </c>
      <c r="E56" s="34" cm="1">
        <f t="array" ref="E56">INDEX(표2[매출액],MATCH($B56&amp;E$50,표2[이름]&amp;표2[월],0),1)</f>
        <v>186000</v>
      </c>
      <c r="F56" s="33" cm="1">
        <f t="array" ref="F56">INDEX(표2[목표매출액],MATCH($B56&amp;F$50,표2[이름]&amp;표2[월],0),1)</f>
        <v>163000</v>
      </c>
      <c r="G56" s="33" cm="1">
        <f t="array" ref="G56">INDEX(표2[목표매출액],MATCH($B56&amp;G$50,표2[이름]&amp;표2[월],0),1)</f>
        <v>188000</v>
      </c>
      <c r="H56" s="34" cm="1">
        <f t="array" ref="H56">INDEX(표2[목표매출액],MATCH($B56&amp;H$50,표2[이름]&amp;표2[월],0),1)</f>
        <v>143000</v>
      </c>
      <c r="I56" s="33" cm="1">
        <f t="array" ref="I56">INDEX(표2[전년도매출액],MATCH($B56&amp;I$50,표2[이름]&amp;표2[월],0),1)</f>
        <v>109000</v>
      </c>
      <c r="J56" s="33" cm="1">
        <f t="array" ref="J56">INDEX(표2[전년도매출액],MATCH($B56&amp;J$50,표2[이름]&amp;표2[월],0),1)</f>
        <v>109000</v>
      </c>
      <c r="K56" s="34" cm="1">
        <f t="array" ref="K56">INDEX(표2[전년도매출액],MATCH($B56&amp;K$50,표2[이름]&amp;표2[월],0),1)</f>
        <v>161000</v>
      </c>
      <c r="L56" s="35" cm="1">
        <f t="array" ref="L56">INDEX(표2[전체고객수],MATCH($B56&amp;L$50,표2[이름]&amp;표2[월],0),1)</f>
        <v>44</v>
      </c>
      <c r="M56" s="35" cm="1">
        <f t="array" ref="M56">INDEX(표2[전체고객수],MATCH($B56&amp;M$50,표2[이름]&amp;표2[월],0),1)</f>
        <v>62</v>
      </c>
      <c r="N56" s="36" cm="1">
        <f t="array" ref="N56">INDEX(표2[전체고객수],MATCH($B56&amp;N$50,표2[이름]&amp;표2[월],0),1)</f>
        <v>50</v>
      </c>
      <c r="O56" s="35" cm="1">
        <f t="array" ref="O56">INDEX(표2[목표신규고객수],MATCH($B56&amp;O$50,표2[이름]&amp;표2[월],0),1)</f>
        <v>67</v>
      </c>
      <c r="P56" s="35" cm="1">
        <f t="array" ref="P56">INDEX(표2[목표신규고객수],MATCH($B56&amp;P$50,표2[이름]&amp;표2[월],0),1)</f>
        <v>70</v>
      </c>
      <c r="Q56" s="36" cm="1">
        <f t="array" ref="Q56">INDEX(표2[목표신규고객수],MATCH($B56&amp;Q$50,표2[이름]&amp;표2[월],0),1)</f>
        <v>38</v>
      </c>
      <c r="R56" s="35" cm="1">
        <f t="array" ref="R56">INDEX(표2[신규고객수],MATCH($B56&amp;R$50,표2[이름]&amp;표2[월],0),1)</f>
        <v>7</v>
      </c>
      <c r="S56" s="35" cm="1">
        <f t="array" ref="S56">INDEX(표2[신규고객수],MATCH($B56&amp;S$50,표2[이름]&amp;표2[월],0),1)</f>
        <v>6</v>
      </c>
      <c r="T56" s="36" cm="1">
        <f t="array" ref="T56">INDEX(표2[신규고객수],MATCH($B56&amp;T$50,표2[이름]&amp;표2[월],0),1)</f>
        <v>13</v>
      </c>
      <c r="U56" s="35" cm="1">
        <f t="array" ref="U56">INDEX(표2[전년도신규고객수],MATCH($B56&amp;U$50,표2[이름]&amp;표2[월],0),1)</f>
        <v>24</v>
      </c>
      <c r="V56" s="35" cm="1">
        <f t="array" ref="V56">INDEX(표2[전년도신규고객수],MATCH($B56&amp;V$50,표2[이름]&amp;표2[월],0),1)</f>
        <v>15</v>
      </c>
      <c r="W56" s="36" cm="1">
        <f t="array" ref="W56">INDEX(표2[전년도신규고객수],MATCH($B56&amp;W$50,표2[이름]&amp;표2[월],0),1)</f>
        <v>13</v>
      </c>
      <c r="X56" s="33" cm="1">
        <f t="array" ref="X56">INDEX(표2[고객확보비용],MATCH($B56&amp;X$50,표2[이름]&amp;표2[월],0),1)</f>
        <v>6600</v>
      </c>
      <c r="Y56" s="33" cm="1">
        <f t="array" ref="Y56">INDEX(표2[고객확보비용],MATCH($B56&amp;Y$50,표2[이름]&amp;표2[월],0),1)</f>
        <v>5600</v>
      </c>
      <c r="Z56" s="34" cm="1">
        <f t="array" ref="Z56">INDEX(표2[고객확보비용],MATCH($B56&amp;Z$50,표2[이름]&amp;표2[월],0),1)</f>
        <v>8200</v>
      </c>
      <c r="AA56" s="33">
        <f t="shared" si="119"/>
        <v>942.85714285714289</v>
      </c>
      <c r="AB56" s="33">
        <f t="shared" si="115"/>
        <v>933.33333333333337</v>
      </c>
      <c r="AC56" s="34">
        <f t="shared" si="116"/>
        <v>630.76923076923072</v>
      </c>
      <c r="AD56" s="33" cm="1">
        <f t="array" ref="AD56">INDEX(표2[고객확보비용목표(고객당)],MATCH($B56&amp;AD$50,표2[이름]&amp;표2[월],0),1)</f>
        <v>350</v>
      </c>
      <c r="AE56" s="33" cm="1">
        <f t="array" ref="AE56">INDEX(표2[고객확보비용목표(고객당)],MATCH($B56&amp;AE$50,표2[이름]&amp;표2[월],0),1)</f>
        <v>450</v>
      </c>
      <c r="AF56" s="34" cm="1">
        <f t="array" ref="AF56">INDEX(표2[고객확보비용목표(고객당)],MATCH($B56&amp;AF$50,표2[이름]&amp;표2[월],0),1)</f>
        <v>350</v>
      </c>
      <c r="AG56" s="33" cm="1">
        <f t="array" ref="AG56">INDEX(표2[전년도고객확보비용(고객당)],MATCH($B56&amp;AG$50,표2[이름]&amp;표2[월],0),1)</f>
        <v>370</v>
      </c>
      <c r="AH56" s="33" cm="1">
        <f t="array" ref="AH56">INDEX(표2[전년도고객확보비용(고객당)],MATCH($B56&amp;AH$50,표2[이름]&amp;표2[월],0),1)</f>
        <v>358</v>
      </c>
      <c r="AI56" s="34" cm="1">
        <f t="array" ref="AI56">INDEX(표2[전년도고객확보비용(고객당)],MATCH($B56&amp;AI$50,표2[이름]&amp;표2[월],0),1)</f>
        <v>408</v>
      </c>
      <c r="AJ56" s="33">
        <f t="shared" si="120"/>
        <v>4159.090909090909</v>
      </c>
      <c r="AK56" s="33">
        <f t="shared" si="117"/>
        <v>2000</v>
      </c>
      <c r="AL56" s="34">
        <f t="shared" si="118"/>
        <v>3720</v>
      </c>
      <c r="AM56" s="33" cm="1">
        <f t="array" ref="AM56">INDEX(표2[전년도매출액(고객당)],MATCH($B56&amp;AM$50,표2[이름]&amp;표2[월],0),1)</f>
        <v>2300</v>
      </c>
      <c r="AN56" s="33" cm="1">
        <f t="array" ref="AN56">INDEX(표2[전년도매출액(고객당)],MATCH($B56&amp;AN$50,표2[이름]&amp;표2[월],0),1)</f>
        <v>2700</v>
      </c>
      <c r="AO56" s="34" cm="1">
        <f t="array" ref="AO56">INDEX(표2[전년도매출액(고객당)],MATCH($B56&amp;AO$50,표2[이름]&amp;표2[월],0),1)</f>
        <v>2100</v>
      </c>
      <c r="AP56" s="33" cm="1">
        <f t="array" ref="AP56">INDEX(표2[목표매출액(고객당)],MATCH($B56&amp;AP$50,표2[이름]&amp;표2[월],0),1)</f>
        <v>2200</v>
      </c>
      <c r="AQ56" s="33" cm="1">
        <f t="array" ref="AQ56">INDEX(표2[목표매출액(고객당)],MATCH($B56&amp;AQ$50,표2[이름]&amp;표2[월],0),1)</f>
        <v>2300</v>
      </c>
      <c r="AR56" s="37" cm="1">
        <f t="array" ref="AR56">INDEX(표2[목표매출액(고객당)],MATCH($B56&amp;AR$50,표2[이름]&amp;표2[월],0),1)</f>
        <v>2500</v>
      </c>
    </row>
    <row r="57" spans="2:44" ht="19.149999999999999" customHeight="1" thickBot="1" x14ac:dyDescent="0.35">
      <c r="B57" s="64" t="s">
        <v>57</v>
      </c>
      <c r="C57" s="65">
        <f>SUM(C52:C56)</f>
        <v>709000</v>
      </c>
      <c r="D57" s="65">
        <f t="shared" ref="D57" si="121">SUM(D52:D56)</f>
        <v>664000</v>
      </c>
      <c r="E57" s="66">
        <f t="shared" ref="E57" si="122">SUM(E52:E56)</f>
        <v>756000</v>
      </c>
      <c r="F57" s="65">
        <f t="shared" ref="F57" si="123">SUM(F52:F56)</f>
        <v>668000</v>
      </c>
      <c r="G57" s="65">
        <f t="shared" ref="G57" si="124">SUM(G52:G56)</f>
        <v>772000</v>
      </c>
      <c r="H57" s="66">
        <f t="shared" ref="H57" si="125">SUM(H52:H56)</f>
        <v>742000</v>
      </c>
      <c r="I57" s="65">
        <f t="shared" ref="I57" si="126">SUM(I52:I56)</f>
        <v>590000</v>
      </c>
      <c r="J57" s="65">
        <f t="shared" ref="J57" si="127">SUM(J52:J56)</f>
        <v>752000</v>
      </c>
      <c r="K57" s="66">
        <f t="shared" ref="K57" si="128">SUM(K52:K56)</f>
        <v>658000</v>
      </c>
      <c r="L57" s="67">
        <f t="shared" ref="L57" si="129">SUM(L52:L56)</f>
        <v>237</v>
      </c>
      <c r="M57" s="67">
        <f t="shared" ref="M57" si="130">SUM(M52:M56)</f>
        <v>304</v>
      </c>
      <c r="N57" s="68">
        <f t="shared" ref="N57" si="131">SUM(N52:N56)</f>
        <v>285</v>
      </c>
      <c r="O57" s="67">
        <f t="shared" ref="O57" si="132">SUM(O52:O56)</f>
        <v>282</v>
      </c>
      <c r="P57" s="67">
        <f t="shared" ref="P57" si="133">SUM(P52:P56)</f>
        <v>341</v>
      </c>
      <c r="Q57" s="68">
        <f t="shared" ref="Q57" si="134">SUM(Q52:Q56)</f>
        <v>235</v>
      </c>
      <c r="R57" s="67">
        <f t="shared" ref="R57" si="135">SUM(R52:R56)</f>
        <v>43</v>
      </c>
      <c r="S57" s="67">
        <f t="shared" ref="S57" si="136">SUM(S52:S56)</f>
        <v>53</v>
      </c>
      <c r="T57" s="68">
        <f t="shared" ref="T57" si="137">SUM(T52:T56)</f>
        <v>65</v>
      </c>
      <c r="U57" s="67">
        <f t="shared" ref="U57" si="138">SUM(U52:U56)</f>
        <v>92</v>
      </c>
      <c r="V57" s="67">
        <f t="shared" ref="V57" si="139">SUM(V52:V56)</f>
        <v>77</v>
      </c>
      <c r="W57" s="68">
        <f t="shared" ref="W57" si="140">SUM(W52:W56)</f>
        <v>71</v>
      </c>
      <c r="X57" s="65">
        <f t="shared" ref="X57" si="141">SUM(X52:X56)</f>
        <v>35500</v>
      </c>
      <c r="Y57" s="65">
        <f t="shared" ref="Y57" si="142">SUM(Y52:Y56)</f>
        <v>37200</v>
      </c>
      <c r="Z57" s="66">
        <f t="shared" ref="Z57" si="143">SUM(Z52:Z56)</f>
        <v>44600</v>
      </c>
      <c r="AA57" s="65">
        <f t="shared" ref="AA57" si="144">AVERAGE(AA52:AA56)</f>
        <v>954.92436974789928</v>
      </c>
      <c r="AB57" s="65">
        <f t="shared" ref="AB57" si="145">AVERAGE(AB52:AB56)</f>
        <v>759.00000000000011</v>
      </c>
      <c r="AC57" s="66">
        <f t="shared" ref="AC57" si="146">AVERAGE(AC52:AC56)</f>
        <v>701.67078020019198</v>
      </c>
      <c r="AD57" s="65">
        <f t="shared" ref="AD57" si="147">AVERAGE(AD52:AD56)</f>
        <v>350</v>
      </c>
      <c r="AE57" s="65">
        <f t="shared" ref="AE57" si="148">AVERAGE(AE52:AE56)</f>
        <v>450</v>
      </c>
      <c r="AF57" s="66">
        <f t="shared" ref="AF57" si="149">AVERAGE(AF52:AF56)</f>
        <v>350</v>
      </c>
      <c r="AG57" s="65">
        <f t="shared" ref="AG57" si="150">AVERAGE(AG52:AG56)</f>
        <v>379.8</v>
      </c>
      <c r="AH57" s="65">
        <f t="shared" ref="AH57" si="151">AVERAGE(AH52:AH56)</f>
        <v>367</v>
      </c>
      <c r="AI57" s="65">
        <f t="shared" ref="AI57" si="152">AVERAGE(AI52:AI56)</f>
        <v>380.8</v>
      </c>
      <c r="AJ57" s="70">
        <f>AVERAGE(AJ52:AJ56)</f>
        <v>3335.1972751972753</v>
      </c>
      <c r="AK57" s="65">
        <f t="shared" ref="AK57" si="153">AVERAGE(AK52:AK56)</f>
        <v>2182.8031466741145</v>
      </c>
      <c r="AL57" s="65">
        <f t="shared" ref="AL57" si="154">AVERAGE(AL52:AL56)</f>
        <v>2769.8130049619413</v>
      </c>
      <c r="AM57" s="70">
        <f>AVERAGE(AM52:AM56)</f>
        <v>2380</v>
      </c>
      <c r="AN57" s="65">
        <f t="shared" ref="AN57" si="155">AVERAGE(AN52:AN56)</f>
        <v>2520</v>
      </c>
      <c r="AO57" s="66">
        <f t="shared" ref="AO57" si="156">AVERAGE(AO52:AO56)</f>
        <v>2360</v>
      </c>
      <c r="AP57" s="70">
        <f>AVERAGE(AP52:AP56)</f>
        <v>2200</v>
      </c>
      <c r="AQ57" s="65">
        <f t="shared" ref="AQ57" si="157">AVERAGE(AQ52:AQ56)</f>
        <v>2300</v>
      </c>
      <c r="AR57" s="69">
        <f t="shared" ref="AR57" si="158">AVERAGE(AR52:AR56)</f>
        <v>2500</v>
      </c>
    </row>
    <row r="58" spans="2:44" ht="23.45" customHeight="1" thickBot="1" x14ac:dyDescent="0.35"/>
    <row r="59" spans="2:44" ht="6.6" customHeight="1" x14ac:dyDescent="0.3">
      <c r="B59" s="48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50"/>
    </row>
    <row r="60" spans="2:44" ht="26.25" x14ac:dyDescent="0.3">
      <c r="B60" s="51"/>
      <c r="C60" s="72" t="str">
        <f>H4</f>
        <v>Q4 2023</v>
      </c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4"/>
      <c r="AR60" s="75"/>
    </row>
    <row r="61" spans="2:44" ht="15.6" customHeight="1" x14ac:dyDescent="0.3">
      <c r="B61" s="52"/>
      <c r="C61" s="53" t="s">
        <v>45</v>
      </c>
      <c r="D61" s="53" t="s">
        <v>46</v>
      </c>
      <c r="E61" s="54" t="s">
        <v>47</v>
      </c>
      <c r="F61" s="53" t="s">
        <v>45</v>
      </c>
      <c r="G61" s="53" t="s">
        <v>46</v>
      </c>
      <c r="H61" s="54" t="s">
        <v>47</v>
      </c>
      <c r="I61" s="53" t="s">
        <v>45</v>
      </c>
      <c r="J61" s="53" t="s">
        <v>46</v>
      </c>
      <c r="K61" s="54" t="s">
        <v>47</v>
      </c>
      <c r="L61" s="53" t="s">
        <v>45</v>
      </c>
      <c r="M61" s="53" t="s">
        <v>46</v>
      </c>
      <c r="N61" s="54" t="s">
        <v>47</v>
      </c>
      <c r="O61" s="53" t="s">
        <v>45</v>
      </c>
      <c r="P61" s="53" t="s">
        <v>46</v>
      </c>
      <c r="Q61" s="54" t="s">
        <v>47</v>
      </c>
      <c r="R61" s="53" t="s">
        <v>45</v>
      </c>
      <c r="S61" s="53" t="s">
        <v>46</v>
      </c>
      <c r="T61" s="54" t="s">
        <v>47</v>
      </c>
      <c r="U61" s="53" t="s">
        <v>45</v>
      </c>
      <c r="V61" s="53" t="s">
        <v>46</v>
      </c>
      <c r="W61" s="55" t="s">
        <v>47</v>
      </c>
      <c r="X61" s="53" t="s">
        <v>45</v>
      </c>
      <c r="Y61" s="53" t="s">
        <v>46</v>
      </c>
      <c r="Z61" s="55" t="s">
        <v>47</v>
      </c>
      <c r="AA61" s="53" t="s">
        <v>45</v>
      </c>
      <c r="AB61" s="53" t="s">
        <v>46</v>
      </c>
      <c r="AC61" s="53" t="s">
        <v>47</v>
      </c>
      <c r="AD61" s="71" t="s">
        <v>45</v>
      </c>
      <c r="AE61" s="53" t="s">
        <v>46</v>
      </c>
      <c r="AF61" s="53" t="s">
        <v>47</v>
      </c>
      <c r="AG61" s="71" t="s">
        <v>45</v>
      </c>
      <c r="AH61" s="53" t="s">
        <v>46</v>
      </c>
      <c r="AI61" s="55" t="s">
        <v>47</v>
      </c>
      <c r="AJ61" s="53" t="s">
        <v>45</v>
      </c>
      <c r="AK61" s="53" t="s">
        <v>46</v>
      </c>
      <c r="AL61" s="55" t="s">
        <v>47</v>
      </c>
      <c r="AM61" s="53" t="s">
        <v>45</v>
      </c>
      <c r="AN61" s="53" t="s">
        <v>46</v>
      </c>
      <c r="AO61" s="55" t="s">
        <v>47</v>
      </c>
      <c r="AP61" s="53" t="s">
        <v>45</v>
      </c>
      <c r="AQ61" s="56" t="s">
        <v>46</v>
      </c>
      <c r="AR61" s="57" t="s">
        <v>47</v>
      </c>
    </row>
    <row r="62" spans="2:44" ht="51" customHeight="1" x14ac:dyDescent="0.3">
      <c r="B62" s="51"/>
      <c r="C62" s="58" t="s">
        <v>20</v>
      </c>
      <c r="D62" s="58" t="s">
        <v>20</v>
      </c>
      <c r="E62" s="59" t="s">
        <v>20</v>
      </c>
      <c r="F62" s="58" t="s">
        <v>21</v>
      </c>
      <c r="G62" s="58" t="s">
        <v>21</v>
      </c>
      <c r="H62" s="59" t="s">
        <v>21</v>
      </c>
      <c r="I62" s="60" t="s">
        <v>22</v>
      </c>
      <c r="J62" s="60" t="s">
        <v>22</v>
      </c>
      <c r="K62" s="61" t="s">
        <v>22</v>
      </c>
      <c r="L62" s="60" t="s">
        <v>58</v>
      </c>
      <c r="M62" s="60" t="s">
        <v>58</v>
      </c>
      <c r="N62" s="61" t="s">
        <v>58</v>
      </c>
      <c r="O62" s="60" t="s">
        <v>60</v>
      </c>
      <c r="P62" s="60" t="s">
        <v>60</v>
      </c>
      <c r="Q62" s="60" t="s">
        <v>60</v>
      </c>
      <c r="R62" s="62" t="s">
        <v>23</v>
      </c>
      <c r="S62" s="60" t="s">
        <v>23</v>
      </c>
      <c r="T62" s="61" t="s">
        <v>23</v>
      </c>
      <c r="U62" s="60" t="s">
        <v>24</v>
      </c>
      <c r="V62" s="60" t="s">
        <v>24</v>
      </c>
      <c r="W62" s="61" t="s">
        <v>24</v>
      </c>
      <c r="X62" s="60" t="s">
        <v>7</v>
      </c>
      <c r="Y62" s="60" t="s">
        <v>7</v>
      </c>
      <c r="Z62" s="61" t="s">
        <v>7</v>
      </c>
      <c r="AA62" s="60" t="s">
        <v>26</v>
      </c>
      <c r="AB62" s="60" t="s">
        <v>26</v>
      </c>
      <c r="AC62" s="61" t="s">
        <v>26</v>
      </c>
      <c r="AD62" s="60" t="s">
        <v>29</v>
      </c>
      <c r="AE62" s="60" t="s">
        <v>29</v>
      </c>
      <c r="AF62" s="61" t="s">
        <v>28</v>
      </c>
      <c r="AG62" s="60" t="s">
        <v>74</v>
      </c>
      <c r="AH62" s="60" t="s">
        <v>74</v>
      </c>
      <c r="AI62" s="61" t="s">
        <v>74</v>
      </c>
      <c r="AJ62" s="60" t="s">
        <v>31</v>
      </c>
      <c r="AK62" s="60" t="s">
        <v>31</v>
      </c>
      <c r="AL62" s="61" t="s">
        <v>30</v>
      </c>
      <c r="AM62" s="60" t="s">
        <v>33</v>
      </c>
      <c r="AN62" s="60" t="s">
        <v>32</v>
      </c>
      <c r="AO62" s="61" t="s">
        <v>32</v>
      </c>
      <c r="AP62" s="60" t="s">
        <v>34</v>
      </c>
      <c r="AQ62" s="60" t="s">
        <v>34</v>
      </c>
      <c r="AR62" s="63" t="s">
        <v>34</v>
      </c>
    </row>
    <row r="63" spans="2:44" x14ac:dyDescent="0.3">
      <c r="B63" s="32" t="s">
        <v>52</v>
      </c>
      <c r="C63" s="33" cm="1">
        <f t="array" ref="C63">INDEX(표2[매출액],MATCH($B63&amp;C$61,표2[이름]&amp;표2[월],0),1)</f>
        <v>140000</v>
      </c>
      <c r="D63" s="33" cm="1">
        <f t="array" ref="D63">INDEX(표2[매출액],MATCH($B63&amp;D$61,표2[이름]&amp;표2[월],0),1)</f>
        <v>179000</v>
      </c>
      <c r="E63" s="34" cm="1">
        <f t="array" ref="E63">INDEX(표2[매출액],MATCH($B63&amp;E$61,표2[이름]&amp;표2[월],0),1)</f>
        <v>158000</v>
      </c>
      <c r="F63" s="33" cm="1">
        <f t="array" ref="F63">INDEX(표2[목표매출액],MATCH($B63&amp;F$61,표2[이름]&amp;표2[월],0),1)</f>
        <v>132000</v>
      </c>
      <c r="G63" s="33" cm="1">
        <f t="array" ref="G63">INDEX(표2[목표매출액],MATCH($B63&amp;G$61,표2[이름]&amp;표2[월],0),1)</f>
        <v>149000</v>
      </c>
      <c r="H63" s="34" cm="1">
        <f t="array" ref="H63">INDEX(표2[목표매출액],MATCH($B63&amp;H$61,표2[이름]&amp;표2[월],0),1)</f>
        <v>152000</v>
      </c>
      <c r="I63" s="33" cm="1">
        <f t="array" ref="I63">INDEX(표2[전년도매출액],MATCH($B63&amp;I$61,표2[이름]&amp;표2[월],0),1)</f>
        <v>125000</v>
      </c>
      <c r="J63" s="33" cm="1">
        <f t="array" ref="J63">INDEX(표2[전년도매출액],MATCH($B63&amp;J$61,표2[이름]&amp;표2[월],0),1)</f>
        <v>125000</v>
      </c>
      <c r="K63" s="34" cm="1">
        <f t="array" ref="K63">INDEX(표2[전년도매출액],MATCH($B63&amp;K$61,표2[이름]&amp;표2[월],0),1)</f>
        <v>182000</v>
      </c>
      <c r="L63" s="35" cm="1">
        <f t="array" ref="L63">INDEX(표2[전체고객수],MATCH($B63&amp;L$61,표2[이름]&amp;표2[월],0),1)</f>
        <v>37</v>
      </c>
      <c r="M63" s="35" cm="1">
        <f t="array" ref="M63">INDEX(표2[전체고객수],MATCH($B63&amp;M$61,표2[이름]&amp;표2[월],0),1)</f>
        <v>30</v>
      </c>
      <c r="N63" s="36" cm="1">
        <f t="array" ref="N63">INDEX(표2[전체고객수],MATCH($B63&amp;N$61,표2[이름]&amp;표2[월],0),1)</f>
        <v>75</v>
      </c>
      <c r="O63" s="35" cm="1">
        <f t="array" ref="O63">INDEX(표2[목표신규고객수],MATCH($B63&amp;O$61,표2[이름]&amp;표2[월],0),1)</f>
        <v>56</v>
      </c>
      <c r="P63" s="35" cm="1">
        <f t="array" ref="P63">INDEX(표2[목표신규고객수],MATCH($B63&amp;P$61,표2[이름]&amp;표2[월],0),1)</f>
        <v>81</v>
      </c>
      <c r="Q63" s="36" cm="1">
        <f t="array" ref="Q63">INDEX(표2[목표신규고객수],MATCH($B63&amp;Q$61,표2[이름]&amp;표2[월],0),1)</f>
        <v>63</v>
      </c>
      <c r="R63" s="35" cm="1">
        <f t="array" ref="R63">INDEX(표2[신규고객수],MATCH($B63&amp;R$61,표2[이름]&amp;표2[월],0),1)</f>
        <v>10</v>
      </c>
      <c r="S63" s="35" cm="1">
        <f t="array" ref="S63">INDEX(표2[신규고객수],MATCH($B63&amp;S$61,표2[이름]&amp;표2[월],0),1)</f>
        <v>7</v>
      </c>
      <c r="T63" s="36" cm="1">
        <f t="array" ref="T63">INDEX(표2[신규고객수],MATCH($B63&amp;T$61,표2[이름]&amp;표2[월],0),1)</f>
        <v>8</v>
      </c>
      <c r="U63" s="35" cm="1">
        <f t="array" ref="U63">INDEX(표2[전년도신규고객수],MATCH($B63&amp;U$61,표2[이름]&amp;표2[월],0),1)</f>
        <v>21</v>
      </c>
      <c r="V63" s="35" cm="1">
        <f t="array" ref="V63">INDEX(표2[전년도신규고객수],MATCH($B63&amp;V$61,표2[이름]&amp;표2[월],0),1)</f>
        <v>19</v>
      </c>
      <c r="W63" s="36" cm="1">
        <f t="array" ref="W63">INDEX(표2[전년도신규고객수],MATCH($B63&amp;W$61,표2[이름]&amp;표2[월],0),1)</f>
        <v>9</v>
      </c>
      <c r="X63" s="33" cm="1">
        <f t="array" ref="X63">INDEX(표2[고객확보비용],MATCH($B63&amp;X$61,표2[이름]&amp;표2[월],0),1)</f>
        <v>7500</v>
      </c>
      <c r="Y63" s="33" cm="1">
        <f t="array" ref="Y63">INDEX(표2[고객확보비용],MATCH($B63&amp;Y$61,표2[이름]&amp;표2[월],0),1)</f>
        <v>8600</v>
      </c>
      <c r="Z63" s="34" cm="1">
        <f t="array" ref="Z63">INDEX(표2[고객확보비용],MATCH($B63&amp;Z$61,표2[이름]&amp;표2[월],0),1)</f>
        <v>9100</v>
      </c>
      <c r="AA63" s="33">
        <f>X63/R63</f>
        <v>750</v>
      </c>
      <c r="AB63" s="33">
        <f t="shared" ref="AB63:AB67" si="159">Y63/S63</f>
        <v>1228.5714285714287</v>
      </c>
      <c r="AC63" s="34">
        <f t="shared" ref="AC63:AC67" si="160">Z63/T63</f>
        <v>1137.5</v>
      </c>
      <c r="AD63" s="33" cm="1">
        <f t="array" ref="AD63">INDEX(표2[고객확보비용목표(고객당)],MATCH($B63&amp;AD$61,표2[이름]&amp;표2[월],0),1)</f>
        <v>350</v>
      </c>
      <c r="AE63" s="33" cm="1">
        <f t="array" ref="AE63">INDEX(표2[고객확보비용목표(고객당)],MATCH($B63&amp;AE$61,표2[이름]&amp;표2[월],0),1)</f>
        <v>350</v>
      </c>
      <c r="AF63" s="34" cm="1">
        <f t="array" ref="AF63">INDEX(표2[고객확보비용목표(고객당)],MATCH($B63&amp;AF$61,표2[이름]&amp;표2[월],0),1)</f>
        <v>300</v>
      </c>
      <c r="AG63" s="33" cm="1">
        <f t="array" ref="AG63">INDEX(표2[전년도고객확보비용(고객당)],MATCH($B63&amp;AG$61,표2[이름]&amp;표2[월],0),1)</f>
        <v>396</v>
      </c>
      <c r="AH63" s="33" cm="1">
        <f t="array" ref="AH63">INDEX(표2[전년도고객확보비용(고객당)],MATCH($B63&amp;AH$61,표2[이름]&amp;표2[월],0),1)</f>
        <v>386</v>
      </c>
      <c r="AI63" s="34" cm="1">
        <f t="array" ref="AI63">INDEX(표2[전년도고객확보비용(고객당)],MATCH($B63&amp;AI$61,표2[이름]&amp;표2[월],0),1)</f>
        <v>364</v>
      </c>
      <c r="AJ63" s="33">
        <f>C63/L63</f>
        <v>3783.7837837837837</v>
      </c>
      <c r="AK63" s="33">
        <f t="shared" ref="AK63:AK67" si="161">D63/M63</f>
        <v>5966.666666666667</v>
      </c>
      <c r="AL63" s="34">
        <f t="shared" ref="AL63:AL67" si="162">E63/N63</f>
        <v>2106.6666666666665</v>
      </c>
      <c r="AM63" s="33" cm="1">
        <f t="array" ref="AM63">INDEX(표2[전년도매출액(고객당)],MATCH($B63&amp;AM$61,표2[이름]&amp;표2[월],0),1)</f>
        <v>2500</v>
      </c>
      <c r="AN63" s="33" cm="1">
        <f t="array" ref="AN63">INDEX(표2[전년도매출액(고객당)],MATCH($B63&amp;AN$61,표2[이름]&amp;표2[월],0),1)</f>
        <v>2600</v>
      </c>
      <c r="AO63" s="34" cm="1">
        <f t="array" ref="AO63">INDEX(표2[전년도매출액(고객당)],MATCH($B63&amp;AO$61,표2[이름]&amp;표2[월],0),1)</f>
        <v>2900</v>
      </c>
      <c r="AP63" s="33" cm="1">
        <f t="array" ref="AP63">INDEX(표2[목표매출액(고객당)],MATCH($B63&amp;AP$61,표2[이름]&amp;표2[월],0),1)</f>
        <v>2450</v>
      </c>
      <c r="AQ63" s="33" cm="1">
        <f t="array" ref="AQ63">INDEX(표2[목표매출액(고객당)],MATCH($B63&amp;AQ$61,표2[이름]&amp;표2[월],0),1)</f>
        <v>2700</v>
      </c>
      <c r="AR63" s="37" cm="1">
        <f t="array" ref="AR63">INDEX(표2[목표매출액(고객당)],MATCH($B63&amp;AR$61,표2[이름]&amp;표2[월],0),1)</f>
        <v>2350</v>
      </c>
    </row>
    <row r="64" spans="2:44" x14ac:dyDescent="0.3">
      <c r="B64" s="32" t="s">
        <v>53</v>
      </c>
      <c r="C64" s="33" cm="1">
        <f t="array" ref="C64">INDEX(표2[매출액],MATCH($B64&amp;C$61,표2[이름]&amp;표2[월],0),1)</f>
        <v>137000</v>
      </c>
      <c r="D64" s="33" cm="1">
        <f t="array" ref="D64">INDEX(표2[매출액],MATCH($B64&amp;D$61,표2[이름]&amp;표2[월],0),1)</f>
        <v>171000</v>
      </c>
      <c r="E64" s="34" cm="1">
        <f t="array" ref="E64">INDEX(표2[매출액],MATCH($B64&amp;E$61,표2[이름]&amp;표2[월],0),1)</f>
        <v>103000</v>
      </c>
      <c r="F64" s="33" cm="1">
        <f t="array" ref="F64">INDEX(표2[목표매출액],MATCH($B64&amp;F$61,표2[이름]&amp;표2[월],0),1)</f>
        <v>136000</v>
      </c>
      <c r="G64" s="33" cm="1">
        <f t="array" ref="G64">INDEX(표2[목표매출액],MATCH($B64&amp;G$61,표2[이름]&amp;표2[월],0),1)</f>
        <v>171000</v>
      </c>
      <c r="H64" s="34" cm="1">
        <f t="array" ref="H64">INDEX(표2[목표매출액],MATCH($B64&amp;H$61,표2[이름]&amp;표2[월],0),1)</f>
        <v>158000</v>
      </c>
      <c r="I64" s="33" cm="1">
        <f t="array" ref="I64">INDEX(표2[전년도매출액],MATCH($B64&amp;I$61,표2[이름]&amp;표2[월],0),1)</f>
        <v>115000</v>
      </c>
      <c r="J64" s="33" cm="1">
        <f t="array" ref="J64">INDEX(표2[전년도매출액],MATCH($B64&amp;J$61,표2[이름]&amp;표2[월],0),1)</f>
        <v>124000</v>
      </c>
      <c r="K64" s="34" cm="1">
        <f t="array" ref="K64">INDEX(표2[전년도매출액],MATCH($B64&amp;K$61,표2[이름]&amp;표2[월],0),1)</f>
        <v>159000</v>
      </c>
      <c r="L64" s="35" cm="1">
        <f t="array" ref="L64">INDEX(표2[전체고객수],MATCH($B64&amp;L$61,표2[이름]&amp;표2[월],0),1)</f>
        <v>44</v>
      </c>
      <c r="M64" s="35" cm="1">
        <f t="array" ref="M64">INDEX(표2[전체고객수],MATCH($B64&amp;M$61,표2[이름]&amp;표2[월],0),1)</f>
        <v>30</v>
      </c>
      <c r="N64" s="36" cm="1">
        <f t="array" ref="N64">INDEX(표2[전체고객수],MATCH($B64&amp;N$61,표2[이름]&amp;표2[월],0),1)</f>
        <v>71</v>
      </c>
      <c r="O64" s="35" cm="1">
        <f t="array" ref="O64">INDEX(표2[목표신규고객수],MATCH($B64&amp;O$61,표2[이름]&amp;표2[월],0),1)</f>
        <v>69</v>
      </c>
      <c r="P64" s="35" cm="1">
        <f t="array" ref="P64">INDEX(표2[목표신규고객수],MATCH($B64&amp;P$61,표2[이름]&amp;표2[월],0),1)</f>
        <v>55</v>
      </c>
      <c r="Q64" s="36" cm="1">
        <f t="array" ref="Q64">INDEX(표2[목표신규고객수],MATCH($B64&amp;Q$61,표2[이름]&amp;표2[월],0),1)</f>
        <v>67</v>
      </c>
      <c r="R64" s="35" cm="1">
        <f t="array" ref="R64">INDEX(표2[신규고객수],MATCH($B64&amp;R$61,표2[이름]&amp;표2[월],0),1)</f>
        <v>4</v>
      </c>
      <c r="S64" s="35" cm="1">
        <f t="array" ref="S64">INDEX(표2[신규고객수],MATCH($B64&amp;S$61,표2[이름]&amp;표2[월],0),1)</f>
        <v>8</v>
      </c>
      <c r="T64" s="36" cm="1">
        <f t="array" ref="T64">INDEX(표2[신규고객수],MATCH($B64&amp;T$61,표2[이름]&amp;표2[월],0),1)</f>
        <v>12</v>
      </c>
      <c r="U64" s="35" cm="1">
        <f t="array" ref="U64">INDEX(표2[전년도신규고객수],MATCH($B64&amp;U$61,표2[이름]&amp;표2[월],0),1)</f>
        <v>18</v>
      </c>
      <c r="V64" s="35" cm="1">
        <f t="array" ref="V64">INDEX(표2[전년도신규고객수],MATCH($B64&amp;V$61,표2[이름]&amp;표2[월],0),1)</f>
        <v>18</v>
      </c>
      <c r="W64" s="36" cm="1">
        <f t="array" ref="W64">INDEX(표2[전년도신규고객수],MATCH($B64&amp;W$61,표2[이름]&amp;표2[월],0),1)</f>
        <v>25</v>
      </c>
      <c r="X64" s="33" cm="1">
        <f t="array" ref="X64">INDEX(표2[고객확보비용],MATCH($B64&amp;X$61,표2[이름]&amp;표2[월],0),1)</f>
        <v>9000</v>
      </c>
      <c r="Y64" s="33" cm="1">
        <f t="array" ref="Y64">INDEX(표2[고객확보비용],MATCH($B64&amp;Y$61,표2[이름]&amp;표2[월],0),1)</f>
        <v>10900</v>
      </c>
      <c r="Z64" s="34" cm="1">
        <f t="array" ref="Z64">INDEX(표2[고객확보비용],MATCH($B64&amp;Z$61,표2[이름]&amp;표2[월],0),1)</f>
        <v>7600</v>
      </c>
      <c r="AA64" s="33">
        <f t="shared" ref="AA64:AA67" si="163">X64/R64</f>
        <v>2250</v>
      </c>
      <c r="AB64" s="33">
        <f t="shared" si="159"/>
        <v>1362.5</v>
      </c>
      <c r="AC64" s="34">
        <f t="shared" si="160"/>
        <v>633.33333333333337</v>
      </c>
      <c r="AD64" s="33" cm="1">
        <f t="array" ref="AD64">INDEX(표2[고객확보비용목표(고객당)],MATCH($B64&amp;AD$61,표2[이름]&amp;표2[월],0),1)</f>
        <v>350</v>
      </c>
      <c r="AE64" s="33" cm="1">
        <f t="array" ref="AE64">INDEX(표2[고객확보비용목표(고객당)],MATCH($B64&amp;AE$61,표2[이름]&amp;표2[월],0),1)</f>
        <v>350</v>
      </c>
      <c r="AF64" s="34" cm="1">
        <f t="array" ref="AF64">INDEX(표2[고객확보비용목표(고객당)],MATCH($B64&amp;AF$61,표2[이름]&amp;표2[월],0),1)</f>
        <v>300</v>
      </c>
      <c r="AG64" s="33" cm="1">
        <f t="array" ref="AG64">INDEX(표2[전년도고객확보비용(고객당)],MATCH($B64&amp;AG$61,표2[이름]&amp;표2[월],0),1)</f>
        <v>392</v>
      </c>
      <c r="AH64" s="33" cm="1">
        <f t="array" ref="AH64">INDEX(표2[전년도고객확보비용(고객당)],MATCH($B64&amp;AH$61,표2[이름]&amp;표2[월],0),1)</f>
        <v>373</v>
      </c>
      <c r="AI64" s="34" cm="1">
        <f t="array" ref="AI64">INDEX(표2[전년도고객확보비용(고객당)],MATCH($B64&amp;AI$61,표2[이름]&amp;표2[월],0),1)</f>
        <v>356</v>
      </c>
      <c r="AJ64" s="33">
        <f t="shared" ref="AJ64:AJ67" si="164">C64/L64</f>
        <v>3113.6363636363635</v>
      </c>
      <c r="AK64" s="33">
        <f t="shared" si="161"/>
        <v>5700</v>
      </c>
      <c r="AL64" s="34">
        <f t="shared" si="162"/>
        <v>1450.7042253521126</v>
      </c>
      <c r="AM64" s="33" cm="1">
        <f t="array" ref="AM64">INDEX(표2[전년도매출액(고객당)],MATCH($B64&amp;AM$61,표2[이름]&amp;표2[월],0),1)</f>
        <v>2200</v>
      </c>
      <c r="AN64" s="33" cm="1">
        <f t="array" ref="AN64">INDEX(표2[전년도매출액(고객당)],MATCH($B64&amp;AN$61,표2[이름]&amp;표2[월],0),1)</f>
        <v>2100</v>
      </c>
      <c r="AO64" s="34" cm="1">
        <f t="array" ref="AO64">INDEX(표2[전년도매출액(고객당)],MATCH($B64&amp;AO$61,표2[이름]&amp;표2[월],0),1)</f>
        <v>3100</v>
      </c>
      <c r="AP64" s="33" cm="1">
        <f t="array" ref="AP64">INDEX(표2[목표매출액(고객당)],MATCH($B64&amp;AP$61,표2[이름]&amp;표2[월],0),1)</f>
        <v>2450</v>
      </c>
      <c r="AQ64" s="33" cm="1">
        <f t="array" ref="AQ64">INDEX(표2[목표매출액(고객당)],MATCH($B64&amp;AQ$61,표2[이름]&amp;표2[월],0),1)</f>
        <v>2700</v>
      </c>
      <c r="AR64" s="37" cm="1">
        <f t="array" ref="AR64">INDEX(표2[목표매출액(고객당)],MATCH($B64&amp;AR$61,표2[이름]&amp;표2[월],0),1)</f>
        <v>2350</v>
      </c>
    </row>
    <row r="65" spans="2:44" x14ac:dyDescent="0.3">
      <c r="B65" s="32" t="s">
        <v>54</v>
      </c>
      <c r="C65" s="33" cm="1">
        <f t="array" ref="C65">INDEX(표2[매출액],MATCH($B65&amp;C$61,표2[이름]&amp;표2[월],0),1)</f>
        <v>180000</v>
      </c>
      <c r="D65" s="33" cm="1">
        <f t="array" ref="D65">INDEX(표2[매출액],MATCH($B65&amp;D$61,표2[이름]&amp;표2[월],0),1)</f>
        <v>170000</v>
      </c>
      <c r="E65" s="34" cm="1">
        <f t="array" ref="E65">INDEX(표2[매출액],MATCH($B65&amp;E$61,표2[이름]&amp;표2[월],0),1)</f>
        <v>138000</v>
      </c>
      <c r="F65" s="33" cm="1">
        <f t="array" ref="F65">INDEX(표2[목표매출액],MATCH($B65&amp;F$61,표2[이름]&amp;표2[월],0),1)</f>
        <v>138000</v>
      </c>
      <c r="G65" s="33" cm="1">
        <f t="array" ref="G65">INDEX(표2[목표매출액],MATCH($B65&amp;G$61,표2[이름]&amp;표2[월],0),1)</f>
        <v>134000</v>
      </c>
      <c r="H65" s="34" cm="1">
        <f t="array" ref="H65">INDEX(표2[목표매출액],MATCH($B65&amp;H$61,표2[이름]&amp;표2[월],0),1)</f>
        <v>124000</v>
      </c>
      <c r="I65" s="33" cm="1">
        <f t="array" ref="I65">INDEX(표2[전년도매출액],MATCH($B65&amp;I$61,표2[이름]&amp;표2[월],0),1)</f>
        <v>144000</v>
      </c>
      <c r="J65" s="33" cm="1">
        <f t="array" ref="J65">INDEX(표2[전년도매출액],MATCH($B65&amp;J$61,표2[이름]&amp;표2[월],0),1)</f>
        <v>118000</v>
      </c>
      <c r="K65" s="34" cm="1">
        <f t="array" ref="K65">INDEX(표2[전년도매출액],MATCH($B65&amp;K$61,표2[이름]&amp;표2[월],0),1)</f>
        <v>105000</v>
      </c>
      <c r="L65" s="35" cm="1">
        <f t="array" ref="L65">INDEX(표2[전체고객수],MATCH($B65&amp;L$61,표2[이름]&amp;표2[월],0),1)</f>
        <v>69</v>
      </c>
      <c r="M65" s="35" cm="1">
        <f t="array" ref="M65">INDEX(표2[전체고객수],MATCH($B65&amp;M$61,표2[이름]&amp;표2[월],0),1)</f>
        <v>80</v>
      </c>
      <c r="N65" s="36" cm="1">
        <f t="array" ref="N65">INDEX(표2[전체고객수],MATCH($B65&amp;N$61,표2[이름]&amp;표2[월],0),1)</f>
        <v>48</v>
      </c>
      <c r="O65" s="35" cm="1">
        <f t="array" ref="O65">INDEX(표2[목표신규고객수],MATCH($B65&amp;O$61,표2[이름]&amp;표2[월],0),1)</f>
        <v>80</v>
      </c>
      <c r="P65" s="35" cm="1">
        <f t="array" ref="P65">INDEX(표2[목표신규고객수],MATCH($B65&amp;P$61,표2[이름]&amp;표2[월],0),1)</f>
        <v>40</v>
      </c>
      <c r="Q65" s="36" cm="1">
        <f t="array" ref="Q65">INDEX(표2[목표신규고객수],MATCH($B65&amp;Q$61,표2[이름]&amp;표2[월],0),1)</f>
        <v>49</v>
      </c>
      <c r="R65" s="35" cm="1">
        <f t="array" ref="R65">INDEX(표2[신규고객수],MATCH($B65&amp;R$61,표2[이름]&amp;표2[월],0),1)</f>
        <v>11</v>
      </c>
      <c r="S65" s="35" cm="1">
        <f t="array" ref="S65">INDEX(표2[신규고객수],MATCH($B65&amp;S$61,표2[이름]&amp;표2[월],0),1)</f>
        <v>18</v>
      </c>
      <c r="T65" s="36" cm="1">
        <f t="array" ref="T65">INDEX(표2[신규고객수],MATCH($B65&amp;T$61,표2[이름]&amp;표2[월],0),1)</f>
        <v>8</v>
      </c>
      <c r="U65" s="35" cm="1">
        <f t="array" ref="U65">INDEX(표2[전년도신규고객수],MATCH($B65&amp;U$61,표2[이름]&amp;표2[월],0),1)</f>
        <v>19</v>
      </c>
      <c r="V65" s="35" cm="1">
        <f t="array" ref="V65">INDEX(표2[전년도신규고객수],MATCH($B65&amp;V$61,표2[이름]&amp;표2[월],0),1)</f>
        <v>24</v>
      </c>
      <c r="W65" s="36" cm="1">
        <f t="array" ref="W65">INDEX(표2[전년도신규고객수],MATCH($B65&amp;W$61,표2[이름]&amp;표2[월],0),1)</f>
        <v>11</v>
      </c>
      <c r="X65" s="33" cm="1">
        <f t="array" ref="X65">INDEX(표2[고객확보비용],MATCH($B65&amp;X$61,표2[이름]&amp;표2[월],0),1)</f>
        <v>9800</v>
      </c>
      <c r="Y65" s="33" cm="1">
        <f t="array" ref="Y65">INDEX(표2[고객확보비용],MATCH($B65&amp;Y$61,표2[이름]&amp;표2[월],0),1)</f>
        <v>9800</v>
      </c>
      <c r="Z65" s="34" cm="1">
        <f t="array" ref="Z65">INDEX(표2[고객확보비용],MATCH($B65&amp;Z$61,표2[이름]&amp;표2[월],0),1)</f>
        <v>8100</v>
      </c>
      <c r="AA65" s="33">
        <f t="shared" si="163"/>
        <v>890.90909090909088</v>
      </c>
      <c r="AB65" s="33">
        <f t="shared" si="159"/>
        <v>544.44444444444446</v>
      </c>
      <c r="AC65" s="34">
        <f t="shared" si="160"/>
        <v>1012.5</v>
      </c>
      <c r="AD65" s="33" cm="1">
        <f t="array" ref="AD65">INDEX(표2[고객확보비용목표(고객당)],MATCH($B65&amp;AD$61,표2[이름]&amp;표2[월],0),1)</f>
        <v>350</v>
      </c>
      <c r="AE65" s="33" cm="1">
        <f t="array" ref="AE65">INDEX(표2[고객확보비용목표(고객당)],MATCH($B65&amp;AE$61,표2[이름]&amp;표2[월],0),1)</f>
        <v>350</v>
      </c>
      <c r="AF65" s="34" cm="1">
        <f t="array" ref="AF65">INDEX(표2[고객확보비용목표(고객당)],MATCH($B65&amp;AF$61,표2[이름]&amp;표2[월],0),1)</f>
        <v>300</v>
      </c>
      <c r="AG65" s="33" cm="1">
        <f t="array" ref="AG65">INDEX(표2[전년도고객확보비용(고객당)],MATCH($B65&amp;AG$61,표2[이름]&amp;표2[월],0),1)</f>
        <v>369</v>
      </c>
      <c r="AH65" s="33" cm="1">
        <f t="array" ref="AH65">INDEX(표2[전년도고객확보비용(고객당)],MATCH($B65&amp;AH$61,표2[이름]&amp;표2[월],0),1)</f>
        <v>391</v>
      </c>
      <c r="AI65" s="34" cm="1">
        <f t="array" ref="AI65">INDEX(표2[전년도고객확보비용(고객당)],MATCH($B65&amp;AI$61,표2[이름]&amp;표2[월],0),1)</f>
        <v>394</v>
      </c>
      <c r="AJ65" s="33">
        <f t="shared" si="164"/>
        <v>2608.695652173913</v>
      </c>
      <c r="AK65" s="33">
        <f t="shared" si="161"/>
        <v>2125</v>
      </c>
      <c r="AL65" s="34">
        <f t="shared" si="162"/>
        <v>2875</v>
      </c>
      <c r="AM65" s="33" cm="1">
        <f t="array" ref="AM65">INDEX(표2[전년도매출액(고객당)],MATCH($B65&amp;AM$61,표2[이름]&amp;표2[월],0),1)</f>
        <v>2800</v>
      </c>
      <c r="AN65" s="33" cm="1">
        <f t="array" ref="AN65">INDEX(표2[전년도매출액(고객당)],MATCH($B65&amp;AN$61,표2[이름]&amp;표2[월],0),1)</f>
        <v>3000</v>
      </c>
      <c r="AO65" s="34" cm="1">
        <f t="array" ref="AO65">INDEX(표2[전년도매출액(고객당)],MATCH($B65&amp;AO$61,표2[이름]&amp;표2[월],0),1)</f>
        <v>2400</v>
      </c>
      <c r="AP65" s="33" cm="1">
        <f t="array" ref="AP65">INDEX(표2[목표매출액(고객당)],MATCH($B65&amp;AP$61,표2[이름]&amp;표2[월],0),1)</f>
        <v>2450</v>
      </c>
      <c r="AQ65" s="33" cm="1">
        <f t="array" ref="AQ65">INDEX(표2[목표매출액(고객당)],MATCH($B65&amp;AQ$61,표2[이름]&amp;표2[월],0),1)</f>
        <v>2700</v>
      </c>
      <c r="AR65" s="37" cm="1">
        <f t="array" ref="AR65">INDEX(표2[목표매출액(고객당)],MATCH($B65&amp;AR$61,표2[이름]&amp;표2[월],0),1)</f>
        <v>2350</v>
      </c>
    </row>
    <row r="66" spans="2:44" x14ac:dyDescent="0.3">
      <c r="B66" s="32" t="s">
        <v>55</v>
      </c>
      <c r="C66" s="33" cm="1">
        <f t="array" ref="C66">INDEX(표2[매출액],MATCH($B66&amp;C$61,표2[이름]&amp;표2[월],0),1)</f>
        <v>164000</v>
      </c>
      <c r="D66" s="33" cm="1">
        <f t="array" ref="D66">INDEX(표2[매출액],MATCH($B66&amp;D$61,표2[이름]&amp;표2[월],0),1)</f>
        <v>138000</v>
      </c>
      <c r="E66" s="34" cm="1">
        <f t="array" ref="E66">INDEX(표2[매출액],MATCH($B66&amp;E$61,표2[이름]&amp;표2[월],0),1)</f>
        <v>178000</v>
      </c>
      <c r="F66" s="33" cm="1">
        <f t="array" ref="F66">INDEX(표2[목표매출액],MATCH($B66&amp;F$61,표2[이름]&amp;표2[월],0),1)</f>
        <v>175000</v>
      </c>
      <c r="G66" s="33" cm="1">
        <f t="array" ref="G66">INDEX(표2[목표매출액],MATCH($B66&amp;G$61,표2[이름]&amp;표2[월],0),1)</f>
        <v>186000</v>
      </c>
      <c r="H66" s="34" cm="1">
        <f t="array" ref="H66">INDEX(표2[목표매출액],MATCH($B66&amp;H$61,표2[이름]&amp;표2[월],0),1)</f>
        <v>179000</v>
      </c>
      <c r="I66" s="33" cm="1">
        <f t="array" ref="I66">INDEX(표2[전년도매출액],MATCH($B66&amp;I$61,표2[이름]&amp;표2[월],0),1)</f>
        <v>169000</v>
      </c>
      <c r="J66" s="33" cm="1">
        <f t="array" ref="J66">INDEX(표2[전년도매출액],MATCH($B66&amp;J$61,표2[이름]&amp;표2[월],0),1)</f>
        <v>128000</v>
      </c>
      <c r="K66" s="34" cm="1">
        <f t="array" ref="K66">INDEX(표2[전년도매출액],MATCH($B66&amp;K$61,표2[이름]&amp;표2[월],0),1)</f>
        <v>184000</v>
      </c>
      <c r="L66" s="35" cm="1">
        <f t="array" ref="L66">INDEX(표2[전체고객수],MATCH($B66&amp;L$61,표2[이름]&amp;표2[월],0),1)</f>
        <v>38</v>
      </c>
      <c r="M66" s="35" cm="1">
        <f t="array" ref="M66">INDEX(표2[전체고객수],MATCH($B66&amp;M$61,표2[이름]&amp;표2[월],0),1)</f>
        <v>74</v>
      </c>
      <c r="N66" s="36" cm="1">
        <f t="array" ref="N66">INDEX(표2[전체고객수],MATCH($B66&amp;N$61,표2[이름]&amp;표2[월],0),1)</f>
        <v>42</v>
      </c>
      <c r="O66" s="35" cm="1">
        <f t="array" ref="O66">INDEX(표2[목표신규고객수],MATCH($B66&amp;O$61,표2[이름]&amp;표2[월],0),1)</f>
        <v>63</v>
      </c>
      <c r="P66" s="35" cm="1">
        <f t="array" ref="P66">INDEX(표2[목표신규고객수],MATCH($B66&amp;P$61,표2[이름]&amp;표2[월],0),1)</f>
        <v>35</v>
      </c>
      <c r="Q66" s="36" cm="1">
        <f t="array" ref="Q66">INDEX(표2[목표신규고객수],MATCH($B66&amp;Q$61,표2[이름]&amp;표2[월],0),1)</f>
        <v>59</v>
      </c>
      <c r="R66" s="35" cm="1">
        <f t="array" ref="R66">INDEX(표2[신규고객수],MATCH($B66&amp;R$61,표2[이름]&amp;표2[월],0),1)</f>
        <v>11</v>
      </c>
      <c r="S66" s="35" cm="1">
        <f t="array" ref="S66">INDEX(표2[신규고객수],MATCH($B66&amp;S$61,표2[이름]&amp;표2[월],0),1)</f>
        <v>13</v>
      </c>
      <c r="T66" s="36" cm="1">
        <f t="array" ref="T66">INDEX(표2[신규고객수],MATCH($B66&amp;T$61,표2[이름]&amp;표2[월],0),1)</f>
        <v>5</v>
      </c>
      <c r="U66" s="35" cm="1">
        <f t="array" ref="U66">INDEX(표2[전년도신규고객수],MATCH($B66&amp;U$61,표2[이름]&amp;표2[월],0),1)</f>
        <v>20</v>
      </c>
      <c r="V66" s="35" cm="1">
        <f t="array" ref="V66">INDEX(표2[전년도신규고객수],MATCH($B66&amp;V$61,표2[이름]&amp;표2[월],0),1)</f>
        <v>25</v>
      </c>
      <c r="W66" s="36" cm="1">
        <f t="array" ref="W66">INDEX(표2[전년도신규고객수],MATCH($B66&amp;W$61,표2[이름]&amp;표2[월],0),1)</f>
        <v>15</v>
      </c>
      <c r="X66" s="33" cm="1">
        <f t="array" ref="X66">INDEX(표2[고객확보비용],MATCH($B66&amp;X$61,표2[이름]&amp;표2[월],0),1)</f>
        <v>8400</v>
      </c>
      <c r="Y66" s="33" cm="1">
        <f t="array" ref="Y66">INDEX(표2[고객확보비용],MATCH($B66&amp;Y$61,표2[이름]&amp;표2[월],0),1)</f>
        <v>10400</v>
      </c>
      <c r="Z66" s="34" cm="1">
        <f t="array" ref="Z66">INDEX(표2[고객확보비용],MATCH($B66&amp;Z$61,표2[이름]&amp;표2[월],0),1)</f>
        <v>10200</v>
      </c>
      <c r="AA66" s="33">
        <f t="shared" si="163"/>
        <v>763.63636363636363</v>
      </c>
      <c r="AB66" s="33">
        <f t="shared" si="159"/>
        <v>800</v>
      </c>
      <c r="AC66" s="34">
        <f t="shared" si="160"/>
        <v>2040</v>
      </c>
      <c r="AD66" s="33" cm="1">
        <f t="array" ref="AD66">INDEX(표2[고객확보비용목표(고객당)],MATCH($B66&amp;AD$61,표2[이름]&amp;표2[월],0),1)</f>
        <v>350</v>
      </c>
      <c r="AE66" s="33" cm="1">
        <f t="array" ref="AE66">INDEX(표2[고객확보비용목표(고객당)],MATCH($B66&amp;AE$61,표2[이름]&amp;표2[월],0),1)</f>
        <v>350</v>
      </c>
      <c r="AF66" s="34" cm="1">
        <f t="array" ref="AF66">INDEX(표2[고객확보비용목표(고객당)],MATCH($B66&amp;AF$61,표2[이름]&amp;표2[월],0),1)</f>
        <v>300</v>
      </c>
      <c r="AG66" s="33" cm="1">
        <f t="array" ref="AG66">INDEX(표2[전년도고객확보비용(고객당)],MATCH($B66&amp;AG$61,표2[이름]&amp;표2[월],0),1)</f>
        <v>377</v>
      </c>
      <c r="AH66" s="33" cm="1">
        <f t="array" ref="AH66">INDEX(표2[전년도고객확보비용(고객당)],MATCH($B66&amp;AH$61,표2[이름]&amp;표2[월],0),1)</f>
        <v>369</v>
      </c>
      <c r="AI66" s="34" cm="1">
        <f t="array" ref="AI66">INDEX(표2[전년도고객확보비용(고객당)],MATCH($B66&amp;AI$61,표2[이름]&amp;표2[월],0),1)</f>
        <v>397</v>
      </c>
      <c r="AJ66" s="33">
        <f t="shared" si="164"/>
        <v>4315.7894736842109</v>
      </c>
      <c r="AK66" s="33">
        <f t="shared" si="161"/>
        <v>1864.8648648648648</v>
      </c>
      <c r="AL66" s="34">
        <f t="shared" si="162"/>
        <v>4238.0952380952385</v>
      </c>
      <c r="AM66" s="33" cm="1">
        <f t="array" ref="AM66">INDEX(표2[전년도매출액(고객당)],MATCH($B66&amp;AM$61,표2[이름]&amp;표2[월],0),1)</f>
        <v>2000</v>
      </c>
      <c r="AN66" s="33" cm="1">
        <f t="array" ref="AN66">INDEX(표2[전년도매출액(고객당)],MATCH($B66&amp;AN$61,표2[이름]&amp;표2[월],0),1)</f>
        <v>2800</v>
      </c>
      <c r="AO66" s="34" cm="1">
        <f t="array" ref="AO66">INDEX(표2[전년도매출액(고객당)],MATCH($B66&amp;AO$61,표2[이름]&amp;표2[월],0),1)</f>
        <v>2600</v>
      </c>
      <c r="AP66" s="33" cm="1">
        <f t="array" ref="AP66">INDEX(표2[목표매출액(고객당)],MATCH($B66&amp;AP$61,표2[이름]&amp;표2[월],0),1)</f>
        <v>2450</v>
      </c>
      <c r="AQ66" s="33" cm="1">
        <f t="array" ref="AQ66">INDEX(표2[목표매출액(고객당)],MATCH($B66&amp;AQ$61,표2[이름]&amp;표2[월],0),1)</f>
        <v>2700</v>
      </c>
      <c r="AR66" s="37" cm="1">
        <f t="array" ref="AR66">INDEX(표2[목표매출액(고객당)],MATCH($B66&amp;AR$61,표2[이름]&amp;표2[월],0),1)</f>
        <v>2350</v>
      </c>
    </row>
    <row r="67" spans="2:44" x14ac:dyDescent="0.3">
      <c r="B67" s="32" t="s">
        <v>56</v>
      </c>
      <c r="C67" s="33" cm="1">
        <f t="array" ref="C67">INDEX(표2[매출액],MATCH($B67&amp;C$61,표2[이름]&amp;표2[월],0),1)</f>
        <v>121000</v>
      </c>
      <c r="D67" s="33" cm="1">
        <f t="array" ref="D67">INDEX(표2[매출액],MATCH($B67&amp;D$61,표2[이름]&amp;표2[월],0),1)</f>
        <v>176000</v>
      </c>
      <c r="E67" s="34" cm="1">
        <f t="array" ref="E67">INDEX(표2[매출액],MATCH($B67&amp;E$61,표2[이름]&amp;표2[월],0),1)</f>
        <v>127000</v>
      </c>
      <c r="F67" s="33" cm="1">
        <f t="array" ref="F67">INDEX(표2[목표매출액],MATCH($B67&amp;F$61,표2[이름]&amp;표2[월],0),1)</f>
        <v>145000</v>
      </c>
      <c r="G67" s="33" cm="1">
        <f t="array" ref="G67">INDEX(표2[목표매출액],MATCH($B67&amp;G$61,표2[이름]&amp;표2[월],0),1)</f>
        <v>125000</v>
      </c>
      <c r="H67" s="34" cm="1">
        <f t="array" ref="H67">INDEX(표2[목표매출액],MATCH($B67&amp;H$61,표2[이름]&amp;표2[월],0),1)</f>
        <v>190000</v>
      </c>
      <c r="I67" s="33" cm="1">
        <f t="array" ref="I67">INDEX(표2[전년도매출액],MATCH($B67&amp;I$61,표2[이름]&amp;표2[월],0),1)</f>
        <v>169000</v>
      </c>
      <c r="J67" s="33" cm="1">
        <f t="array" ref="J67">INDEX(표2[전년도매출액],MATCH($B67&amp;J$61,표2[이름]&amp;표2[월],0),1)</f>
        <v>175000</v>
      </c>
      <c r="K67" s="34" cm="1">
        <f t="array" ref="K67">INDEX(표2[전년도매출액],MATCH($B67&amp;K$61,표2[이름]&amp;표2[월],0),1)</f>
        <v>141000</v>
      </c>
      <c r="L67" s="35" cm="1">
        <f t="array" ref="L67">INDEX(표2[전체고객수],MATCH($B67&amp;L$61,표2[이름]&amp;표2[월],0),1)</f>
        <v>49</v>
      </c>
      <c r="M67" s="35" cm="1">
        <f t="array" ref="M67">INDEX(표2[전체고객수],MATCH($B67&amp;M$61,표2[이름]&amp;표2[월],0),1)</f>
        <v>84</v>
      </c>
      <c r="N67" s="36" cm="1">
        <f t="array" ref="N67">INDEX(표2[전체고객수],MATCH($B67&amp;N$61,표2[이름]&amp;표2[월],0),1)</f>
        <v>77</v>
      </c>
      <c r="O67" s="35" cm="1">
        <f t="array" ref="O67">INDEX(표2[목표신규고객수],MATCH($B67&amp;O$61,표2[이름]&amp;표2[월],0),1)</f>
        <v>47</v>
      </c>
      <c r="P67" s="35" cm="1">
        <f t="array" ref="P67">INDEX(표2[목표신규고객수],MATCH($B67&amp;P$61,표2[이름]&amp;표2[월],0),1)</f>
        <v>57</v>
      </c>
      <c r="Q67" s="36" cm="1">
        <f t="array" ref="Q67">INDEX(표2[목표신규고객수],MATCH($B67&amp;Q$61,표2[이름]&amp;표2[월],0),1)</f>
        <v>36</v>
      </c>
      <c r="R67" s="35" cm="1">
        <f t="array" ref="R67">INDEX(표2[신규고객수],MATCH($B67&amp;R$61,표2[이름]&amp;표2[월],0),1)</f>
        <v>14</v>
      </c>
      <c r="S67" s="35" cm="1">
        <f t="array" ref="S67">INDEX(표2[신규고객수],MATCH($B67&amp;S$61,표2[이름]&amp;표2[월],0),1)</f>
        <v>11</v>
      </c>
      <c r="T67" s="36" cm="1">
        <f t="array" ref="T67">INDEX(표2[신규고객수],MATCH($B67&amp;T$61,표2[이름]&amp;표2[월],0),1)</f>
        <v>16</v>
      </c>
      <c r="U67" s="35" cm="1">
        <f t="array" ref="U67">INDEX(표2[전년도신규고객수],MATCH($B67&amp;U$61,표2[이름]&amp;표2[월],0),1)</f>
        <v>16</v>
      </c>
      <c r="V67" s="35" cm="1">
        <f t="array" ref="V67">INDEX(표2[전년도신규고객수],MATCH($B67&amp;V$61,표2[이름]&amp;표2[월],0),1)</f>
        <v>24</v>
      </c>
      <c r="W67" s="36" cm="1">
        <f t="array" ref="W67">INDEX(표2[전년도신규고객수],MATCH($B67&amp;W$61,표2[이름]&amp;표2[월],0),1)</f>
        <v>13</v>
      </c>
      <c r="X67" s="33" cm="1">
        <f t="array" ref="X67">INDEX(표2[고객확보비용],MATCH($B67&amp;X$61,표2[이름]&amp;표2[월],0),1)</f>
        <v>8700</v>
      </c>
      <c r="Y67" s="33" cm="1">
        <f t="array" ref="Y67">INDEX(표2[고객확보비용],MATCH($B67&amp;Y$61,표2[이름]&amp;표2[월],0),1)</f>
        <v>5900</v>
      </c>
      <c r="Z67" s="34" cm="1">
        <f t="array" ref="Z67">INDEX(표2[고객확보비용],MATCH($B67&amp;Z$61,표2[이름]&amp;표2[월],0),1)</f>
        <v>7700</v>
      </c>
      <c r="AA67" s="33">
        <f t="shared" si="163"/>
        <v>621.42857142857144</v>
      </c>
      <c r="AB67" s="33">
        <f t="shared" si="159"/>
        <v>536.36363636363637</v>
      </c>
      <c r="AC67" s="34">
        <f t="shared" si="160"/>
        <v>481.25</v>
      </c>
      <c r="AD67" s="33" cm="1">
        <f t="array" ref="AD67">INDEX(표2[고객확보비용목표(고객당)],MATCH($B67&amp;AD$61,표2[이름]&amp;표2[월],0),1)</f>
        <v>350</v>
      </c>
      <c r="AE67" s="33" cm="1">
        <f t="array" ref="AE67">INDEX(표2[고객확보비용목표(고객당)],MATCH($B67&amp;AE$61,표2[이름]&amp;표2[월],0),1)</f>
        <v>350</v>
      </c>
      <c r="AF67" s="34" cm="1">
        <f t="array" ref="AF67">INDEX(표2[고객확보비용목표(고객당)],MATCH($B67&amp;AF$61,표2[이름]&amp;표2[월],0),1)</f>
        <v>300</v>
      </c>
      <c r="AG67" s="33" cm="1">
        <f t="array" ref="AG67">INDEX(표2[전년도고객확보비용(고객당)],MATCH($B67&amp;AG$61,표2[이름]&amp;표2[월],0),1)</f>
        <v>396</v>
      </c>
      <c r="AH67" s="33" cm="1">
        <f t="array" ref="AH67">INDEX(표2[전년도고객확보비용(고객당)],MATCH($B67&amp;AH$61,표2[이름]&amp;표2[월],0),1)</f>
        <v>393</v>
      </c>
      <c r="AI67" s="34" cm="1">
        <f t="array" ref="AI67">INDEX(표2[전년도고객확보비용(고객당)],MATCH($B67&amp;AI$61,표2[이름]&amp;표2[월],0),1)</f>
        <v>406</v>
      </c>
      <c r="AJ67" s="33">
        <f t="shared" si="164"/>
        <v>2469.387755102041</v>
      </c>
      <c r="AK67" s="33">
        <f t="shared" si="161"/>
        <v>2095.2380952380954</v>
      </c>
      <c r="AL67" s="34">
        <f t="shared" si="162"/>
        <v>1649.3506493506493</v>
      </c>
      <c r="AM67" s="33" cm="1">
        <f t="array" ref="AM67">INDEX(표2[전년도매출액(고객당)],MATCH($B67&amp;AM$61,표2[이름]&amp;표2[월],0),1)</f>
        <v>2100</v>
      </c>
      <c r="AN67" s="33" cm="1">
        <f t="array" ref="AN67">INDEX(표2[전년도매출액(고객당)],MATCH($B67&amp;AN$61,표2[이름]&amp;표2[월],0),1)</f>
        <v>3000</v>
      </c>
      <c r="AO67" s="34" cm="1">
        <f t="array" ref="AO67">INDEX(표2[전년도매출액(고객당)],MATCH($B67&amp;AO$61,표2[이름]&amp;표2[월],0),1)</f>
        <v>2400</v>
      </c>
      <c r="AP67" s="33" cm="1">
        <f t="array" ref="AP67">INDEX(표2[목표매출액(고객당)],MATCH($B67&amp;AP$61,표2[이름]&amp;표2[월],0),1)</f>
        <v>2450</v>
      </c>
      <c r="AQ67" s="33" cm="1">
        <f t="array" ref="AQ67">INDEX(표2[목표매출액(고객당)],MATCH($B67&amp;AQ$61,표2[이름]&amp;표2[월],0),1)</f>
        <v>2700</v>
      </c>
      <c r="AR67" s="37" cm="1">
        <f t="array" ref="AR67">INDEX(표2[목표매출액(고객당)],MATCH($B67&amp;AR$61,표2[이름]&amp;표2[월],0),1)</f>
        <v>2350</v>
      </c>
    </row>
    <row r="68" spans="2:44" ht="19.149999999999999" customHeight="1" thickBot="1" x14ac:dyDescent="0.35">
      <c r="B68" s="64" t="s">
        <v>57</v>
      </c>
      <c r="C68" s="65">
        <f>SUM(C63:C67)</f>
        <v>742000</v>
      </c>
      <c r="D68" s="65">
        <f t="shared" ref="D68" si="165">SUM(D63:D67)</f>
        <v>834000</v>
      </c>
      <c r="E68" s="66">
        <f t="shared" ref="E68" si="166">SUM(E63:E67)</f>
        <v>704000</v>
      </c>
      <c r="F68" s="65">
        <f t="shared" ref="F68" si="167">SUM(F63:F67)</f>
        <v>726000</v>
      </c>
      <c r="G68" s="65">
        <f t="shared" ref="G68" si="168">SUM(G63:G67)</f>
        <v>765000</v>
      </c>
      <c r="H68" s="66">
        <f t="shared" ref="H68" si="169">SUM(H63:H67)</f>
        <v>803000</v>
      </c>
      <c r="I68" s="65">
        <f t="shared" ref="I68" si="170">SUM(I63:I67)</f>
        <v>722000</v>
      </c>
      <c r="J68" s="65">
        <f t="shared" ref="J68" si="171">SUM(J63:J67)</f>
        <v>670000</v>
      </c>
      <c r="K68" s="66">
        <f t="shared" ref="K68" si="172">SUM(K63:K67)</f>
        <v>771000</v>
      </c>
      <c r="L68" s="67">
        <f t="shared" ref="L68" si="173">SUM(L63:L67)</f>
        <v>237</v>
      </c>
      <c r="M68" s="67">
        <f t="shared" ref="M68" si="174">SUM(M63:M67)</f>
        <v>298</v>
      </c>
      <c r="N68" s="68">
        <f t="shared" ref="N68" si="175">SUM(N63:N67)</f>
        <v>313</v>
      </c>
      <c r="O68" s="67">
        <f t="shared" ref="O68" si="176">SUM(O63:O67)</f>
        <v>315</v>
      </c>
      <c r="P68" s="67">
        <f t="shared" ref="P68" si="177">SUM(P63:P67)</f>
        <v>268</v>
      </c>
      <c r="Q68" s="68">
        <f t="shared" ref="Q68" si="178">SUM(Q63:Q67)</f>
        <v>274</v>
      </c>
      <c r="R68" s="67">
        <f t="shared" ref="R68" si="179">SUM(R63:R67)</f>
        <v>50</v>
      </c>
      <c r="S68" s="67">
        <f t="shared" ref="S68" si="180">SUM(S63:S67)</f>
        <v>57</v>
      </c>
      <c r="T68" s="68">
        <f t="shared" ref="T68" si="181">SUM(T63:T67)</f>
        <v>49</v>
      </c>
      <c r="U68" s="67">
        <f t="shared" ref="U68" si="182">SUM(U63:U67)</f>
        <v>94</v>
      </c>
      <c r="V68" s="67">
        <f t="shared" ref="V68" si="183">SUM(V63:V67)</f>
        <v>110</v>
      </c>
      <c r="W68" s="68">
        <f t="shared" ref="W68" si="184">SUM(W63:W67)</f>
        <v>73</v>
      </c>
      <c r="X68" s="65">
        <f t="shared" ref="X68" si="185">SUM(X63:X67)</f>
        <v>43400</v>
      </c>
      <c r="Y68" s="65">
        <f t="shared" ref="Y68" si="186">SUM(Y63:Y67)</f>
        <v>45600</v>
      </c>
      <c r="Z68" s="66">
        <f t="shared" ref="Z68" si="187">SUM(Z63:Z67)</f>
        <v>42700</v>
      </c>
      <c r="AA68" s="65">
        <f t="shared" ref="AA68" si="188">AVERAGE(AA63:AA67)</f>
        <v>1055.1948051948052</v>
      </c>
      <c r="AB68" s="65">
        <f t="shared" ref="AB68" si="189">AVERAGE(AB63:AB67)</f>
        <v>894.37590187590172</v>
      </c>
      <c r="AC68" s="65">
        <f t="shared" ref="AC68" si="190">AVERAGE(AC63:AC67)</f>
        <v>1060.9166666666667</v>
      </c>
      <c r="AD68" s="70">
        <f t="shared" ref="AD68" si="191">AVERAGE(AD63:AD67)</f>
        <v>350</v>
      </c>
      <c r="AE68" s="65">
        <f t="shared" ref="AE68" si="192">AVERAGE(AE63:AE67)</f>
        <v>350</v>
      </c>
      <c r="AF68" s="66">
        <f t="shared" ref="AF68" si="193">AVERAGE(AF63:AF67)</f>
        <v>300</v>
      </c>
      <c r="AG68" s="70">
        <f t="shared" ref="AG68" si="194">AVERAGE(AG63:AG67)</f>
        <v>386</v>
      </c>
      <c r="AH68" s="65">
        <f t="shared" ref="AH68" si="195">AVERAGE(AH63:AH67)</f>
        <v>382.4</v>
      </c>
      <c r="AI68" s="65">
        <f t="shared" ref="AI68" si="196">AVERAGE(AI63:AI67)</f>
        <v>383.4</v>
      </c>
      <c r="AJ68" s="70">
        <f>AVERAGE(AJ63:AJ67)</f>
        <v>3258.258605676062</v>
      </c>
      <c r="AK68" s="65">
        <f t="shared" ref="AK68" si="197">AVERAGE(AK63:AK67)</f>
        <v>3550.3539253539261</v>
      </c>
      <c r="AL68" s="65">
        <f t="shared" ref="AL68" si="198">AVERAGE(AL63:AL67)</f>
        <v>2463.9633558929336</v>
      </c>
      <c r="AM68" s="70">
        <f>AVERAGE(AM63:AM67)</f>
        <v>2320</v>
      </c>
      <c r="AN68" s="65">
        <f t="shared" ref="AN68" si="199">AVERAGE(AN63:AN67)</f>
        <v>2700</v>
      </c>
      <c r="AO68" s="66">
        <f t="shared" ref="AO68" si="200">AVERAGE(AO63:AO67)</f>
        <v>2680</v>
      </c>
      <c r="AP68" s="70">
        <f>AVERAGE(AP63:AP67)</f>
        <v>2450</v>
      </c>
      <c r="AQ68" s="65">
        <f t="shared" ref="AQ68" si="201">AVERAGE(AQ63:AQ67)</f>
        <v>2700</v>
      </c>
      <c r="AR68" s="69">
        <f t="shared" ref="AR68" si="202">AVERAGE(AR63:AR67)</f>
        <v>2350</v>
      </c>
    </row>
  </sheetData>
  <mergeCells count="5">
    <mergeCell ref="C49:AR49"/>
    <mergeCell ref="C60:AR60"/>
    <mergeCell ref="C27:AR27"/>
    <mergeCell ref="C8:AR8"/>
    <mergeCell ref="C38:AR38"/>
  </mergeCells>
  <phoneticPr fontId="1" type="noConversion"/>
  <pageMargins left="0.7" right="0.7" top="0.75" bottom="0.75" header="0.3" footer="0.3"/>
  <pageSetup paperSize="9" orientation="portrait" r:id="rId1"/>
  <ignoredErrors>
    <ignoredError sqref="AA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214B-E5DD-416C-B530-F3D63F22F7B9}">
  <dimension ref="A1:S30"/>
  <sheetViews>
    <sheetView tabSelected="1" zoomScaleNormal="100" workbookViewId="0">
      <selection activeCell="F2" sqref="F2"/>
    </sheetView>
  </sheetViews>
  <sheetFormatPr defaultColWidth="8.875" defaultRowHeight="16.5" x14ac:dyDescent="0.3"/>
  <cols>
    <col min="1" max="1" width="2.5" style="2" customWidth="1"/>
    <col min="2" max="2" width="1.75" style="2" customWidth="1"/>
    <col min="3" max="3" width="16" style="2" customWidth="1"/>
    <col min="4" max="4" width="1.5" style="2" customWidth="1"/>
    <col min="5" max="5" width="11.5" style="2" customWidth="1"/>
    <col min="6" max="6" width="18.625" style="2" customWidth="1"/>
    <col min="7" max="7" width="8" style="2" customWidth="1"/>
    <col min="8" max="8" width="7.625" style="2" customWidth="1"/>
    <col min="9" max="9" width="7.5" style="2" customWidth="1"/>
    <col min="10" max="10" width="2.125" style="2" customWidth="1"/>
    <col min="11" max="11" width="1.75" style="2" customWidth="1"/>
    <col min="12" max="12" width="16" style="2" customWidth="1"/>
    <col min="13" max="13" width="1.5" style="2" customWidth="1"/>
    <col min="14" max="14" width="11.5" style="2" customWidth="1"/>
    <col min="15" max="15" width="16.75" style="2" customWidth="1"/>
    <col min="16" max="16" width="8" style="2" customWidth="1"/>
    <col min="17" max="17" width="7.625" style="2" customWidth="1"/>
    <col min="18" max="18" width="7.5" style="2" customWidth="1"/>
    <col min="19" max="19" width="2.5" style="2" customWidth="1"/>
    <col min="20" max="16384" width="8.875" style="2"/>
  </cols>
  <sheetData>
    <row r="1" spans="1:1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9" customHeight="1" x14ac:dyDescent="0.3">
      <c r="A2" s="1"/>
      <c r="B2" s="1"/>
      <c r="C2" s="79" t="s">
        <v>5</v>
      </c>
      <c r="D2" s="79"/>
      <c r="E2" s="79"/>
      <c r="F2" s="3" t="s">
        <v>4</v>
      </c>
      <c r="G2" s="1"/>
      <c r="H2" s="1"/>
      <c r="I2" s="1"/>
      <c r="J2" s="1"/>
      <c r="K2" s="1"/>
      <c r="L2" s="79"/>
      <c r="M2" s="79"/>
      <c r="N2" s="79"/>
      <c r="O2" s="3"/>
      <c r="P2" s="1"/>
      <c r="Q2" s="1"/>
      <c r="R2" s="1"/>
      <c r="S2" s="1"/>
    </row>
    <row r="3" spans="1:19" ht="21.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customHeight="1" x14ac:dyDescent="0.3">
      <c r="A4" s="1"/>
      <c r="B4" s="4"/>
      <c r="C4" s="4"/>
      <c r="D4" s="4"/>
      <c r="E4" s="4"/>
      <c r="F4" s="4"/>
      <c r="G4" s="4"/>
      <c r="H4" s="4"/>
      <c r="I4" s="4"/>
      <c r="J4" s="1"/>
      <c r="K4" s="4"/>
      <c r="L4" s="4"/>
      <c r="M4" s="4"/>
      <c r="N4" s="4"/>
      <c r="O4" s="4"/>
      <c r="P4" s="4"/>
      <c r="Q4" s="4"/>
      <c r="R4" s="4"/>
      <c r="S4" s="1"/>
    </row>
    <row r="5" spans="1:19" ht="19.149999999999999" customHeight="1" x14ac:dyDescent="0.3">
      <c r="A5" s="1"/>
      <c r="B5" s="4"/>
      <c r="C5" s="5" t="s">
        <v>14</v>
      </c>
      <c r="D5" s="4"/>
      <c r="E5" s="4"/>
      <c r="F5" s="4"/>
      <c r="G5" s="4"/>
      <c r="H5" s="4"/>
      <c r="I5" s="4"/>
      <c r="J5" s="1"/>
      <c r="K5" s="4"/>
      <c r="L5" s="5" t="s">
        <v>6</v>
      </c>
      <c r="M5" s="4"/>
      <c r="N5" s="4"/>
      <c r="O5" s="4"/>
      <c r="P5" s="4"/>
      <c r="Q5" s="4"/>
      <c r="R5" s="4"/>
      <c r="S5" s="1"/>
    </row>
    <row r="6" spans="1:19" x14ac:dyDescent="0.3">
      <c r="A6" s="1"/>
      <c r="B6" s="4"/>
      <c r="C6" s="6"/>
      <c r="D6" s="4"/>
      <c r="E6" s="4"/>
      <c r="F6" s="4"/>
      <c r="G6" s="4"/>
      <c r="H6" s="4"/>
      <c r="I6" s="4"/>
      <c r="J6" s="1"/>
      <c r="K6" s="4"/>
      <c r="L6" s="6"/>
      <c r="M6" s="4"/>
      <c r="N6" s="4"/>
      <c r="O6" s="4"/>
      <c r="P6" s="4"/>
      <c r="Q6" s="4"/>
      <c r="R6" s="4"/>
      <c r="S6" s="1"/>
    </row>
    <row r="7" spans="1:19" ht="31.9" customHeight="1" x14ac:dyDescent="0.3">
      <c r="A7" s="1"/>
      <c r="B7" s="4"/>
      <c r="C7" s="7">
        <f>SUM(Calculations!C16:E16)</f>
        <v>2280000</v>
      </c>
      <c r="D7" s="4"/>
      <c r="E7" s="8" t="s">
        <v>15</v>
      </c>
      <c r="F7" s="4"/>
      <c r="G7" s="4"/>
      <c r="H7" s="4"/>
      <c r="I7" s="4"/>
      <c r="J7" s="1"/>
      <c r="K7" s="4"/>
      <c r="L7" s="9">
        <f>SUM(Calculations!R16:T16)</f>
        <v>156</v>
      </c>
      <c r="M7" s="4"/>
      <c r="N7" s="8" t="s">
        <v>10</v>
      </c>
      <c r="O7" s="4"/>
      <c r="P7" s="4"/>
      <c r="Q7" s="4"/>
      <c r="R7" s="4"/>
      <c r="S7" s="1"/>
    </row>
    <row r="8" spans="1:19" ht="8.4499999999999993" customHeight="1" x14ac:dyDescent="0.3">
      <c r="A8" s="1"/>
      <c r="B8" s="4"/>
      <c r="C8" s="10"/>
      <c r="D8" s="4"/>
      <c r="E8" s="11"/>
      <c r="F8" s="4"/>
      <c r="G8" s="4"/>
      <c r="H8" s="4"/>
      <c r="I8" s="4"/>
      <c r="J8" s="1"/>
      <c r="K8" s="4"/>
      <c r="L8" s="10"/>
      <c r="M8" s="4"/>
      <c r="N8" s="11"/>
      <c r="O8" s="4"/>
      <c r="P8" s="4"/>
      <c r="Q8" s="4"/>
      <c r="R8" s="4"/>
      <c r="S8" s="1"/>
    </row>
    <row r="9" spans="1:19" ht="31.9" customHeight="1" x14ac:dyDescent="0.3">
      <c r="A9" s="1"/>
      <c r="B9" s="4"/>
      <c r="C9" s="7">
        <f>SUM(Calculations!F16:H16)</f>
        <v>2294000</v>
      </c>
      <c r="D9" s="4"/>
      <c r="E9" s="8" t="s">
        <v>16</v>
      </c>
      <c r="F9" s="4"/>
      <c r="G9" s="4"/>
      <c r="H9" s="4"/>
      <c r="I9" s="4"/>
      <c r="J9" s="1"/>
      <c r="K9" s="4"/>
      <c r="L9" s="9">
        <f>SUM(Calculations!O16:Q16)</f>
        <v>857</v>
      </c>
      <c r="M9" s="4"/>
      <c r="N9" s="8" t="s">
        <v>11</v>
      </c>
      <c r="O9" s="4"/>
      <c r="P9" s="4"/>
      <c r="Q9" s="4"/>
      <c r="R9" s="4"/>
      <c r="S9" s="1"/>
    </row>
    <row r="10" spans="1:19" ht="8.4499999999999993" customHeight="1" x14ac:dyDescent="0.3">
      <c r="A10" s="1"/>
      <c r="B10" s="4"/>
      <c r="C10" s="10"/>
      <c r="D10" s="4"/>
      <c r="E10" s="11"/>
      <c r="F10" s="4"/>
      <c r="G10" s="4"/>
      <c r="H10" s="4"/>
      <c r="I10" s="4"/>
      <c r="J10" s="1"/>
      <c r="K10" s="4"/>
      <c r="L10" s="10"/>
      <c r="M10" s="4"/>
      <c r="N10" s="11"/>
      <c r="O10" s="4"/>
      <c r="P10" s="4"/>
      <c r="Q10" s="4"/>
      <c r="R10" s="4"/>
      <c r="S10" s="1"/>
    </row>
    <row r="11" spans="1:19" ht="31.9" customHeight="1" x14ac:dyDescent="0.3">
      <c r="A11" s="1"/>
      <c r="B11" s="4"/>
      <c r="C11" s="12">
        <f>C7/C9</f>
        <v>0.99389712292938104</v>
      </c>
      <c r="D11" s="4"/>
      <c r="E11" s="8" t="s">
        <v>9</v>
      </c>
      <c r="F11" s="4"/>
      <c r="G11" s="4"/>
      <c r="H11" s="4"/>
      <c r="I11" s="4"/>
      <c r="J11" s="1"/>
      <c r="K11" s="4"/>
      <c r="L11" s="12">
        <f>L7/L9</f>
        <v>0.18203033838973162</v>
      </c>
      <c r="M11" s="4"/>
      <c r="N11" s="8" t="s">
        <v>9</v>
      </c>
      <c r="O11" s="4"/>
      <c r="P11" s="4"/>
      <c r="Q11" s="4"/>
      <c r="R11" s="4"/>
      <c r="S11" s="1"/>
    </row>
    <row r="12" spans="1:19" ht="27" customHeight="1" x14ac:dyDescent="0.3">
      <c r="A12" s="1"/>
      <c r="B12" s="4"/>
      <c r="C12" s="4"/>
      <c r="D12" s="4"/>
      <c r="E12" s="4"/>
      <c r="F12" s="4"/>
      <c r="G12" s="4"/>
      <c r="H12" s="4"/>
      <c r="I12" s="4"/>
      <c r="J12" s="1"/>
      <c r="K12" s="4"/>
      <c r="L12" s="4"/>
      <c r="M12" s="4"/>
      <c r="N12" s="4"/>
      <c r="O12" s="4"/>
      <c r="P12" s="4"/>
      <c r="Q12" s="4"/>
      <c r="R12" s="4"/>
      <c r="S12" s="1"/>
    </row>
    <row r="13" spans="1:19" ht="10.1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customHeight="1" x14ac:dyDescent="0.3">
      <c r="A14" s="1"/>
      <c r="B14" s="4"/>
      <c r="C14" s="4"/>
      <c r="D14" s="4"/>
      <c r="E14" s="4"/>
      <c r="F14" s="4"/>
      <c r="G14" s="4"/>
      <c r="H14" s="4"/>
      <c r="I14" s="4"/>
      <c r="J14" s="1"/>
      <c r="K14" s="4"/>
      <c r="L14" s="4"/>
      <c r="M14" s="4"/>
      <c r="N14" s="4"/>
      <c r="O14" s="4"/>
      <c r="P14" s="4"/>
      <c r="Q14" s="4"/>
      <c r="R14" s="4"/>
      <c r="S14" s="1"/>
    </row>
    <row r="15" spans="1:19" ht="19.149999999999999" customHeight="1" x14ac:dyDescent="0.3">
      <c r="A15" s="1"/>
      <c r="B15" s="4"/>
      <c r="C15" s="5" t="s">
        <v>17</v>
      </c>
      <c r="D15" s="4"/>
      <c r="E15" s="4"/>
      <c r="F15" s="4"/>
      <c r="G15" s="4"/>
      <c r="H15" s="4"/>
      <c r="I15" s="4"/>
      <c r="J15" s="1"/>
      <c r="K15" s="4"/>
      <c r="L15" s="5" t="s">
        <v>8</v>
      </c>
      <c r="M15" s="4"/>
      <c r="N15" s="4"/>
      <c r="O15" s="4"/>
      <c r="P15" s="4"/>
      <c r="Q15" s="4"/>
      <c r="R15" s="4"/>
      <c r="S15" s="1"/>
    </row>
    <row r="16" spans="1:19" x14ac:dyDescent="0.3">
      <c r="A16" s="1"/>
      <c r="B16" s="4"/>
      <c r="C16" s="6"/>
      <c r="D16" s="4"/>
      <c r="E16" s="4"/>
      <c r="F16" s="4"/>
      <c r="G16" s="4"/>
      <c r="H16" s="4"/>
      <c r="I16" s="4"/>
      <c r="J16" s="1"/>
      <c r="K16" s="4"/>
      <c r="L16" s="6"/>
      <c r="M16" s="4"/>
      <c r="N16" s="4"/>
      <c r="O16" s="4"/>
      <c r="P16" s="4"/>
      <c r="Q16" s="4"/>
      <c r="R16" s="4"/>
      <c r="S16" s="1"/>
    </row>
    <row r="17" spans="1:19" ht="31.9" customHeight="1" x14ac:dyDescent="0.3">
      <c r="A17" s="1"/>
      <c r="B17" s="4"/>
      <c r="C17" s="7">
        <f>SUM(Calculations!AJ16:AL16)/3</f>
        <v>3090.8586289743071</v>
      </c>
      <c r="D17" s="4"/>
      <c r="E17" s="8" t="s">
        <v>18</v>
      </c>
      <c r="F17" s="4"/>
      <c r="G17" s="4"/>
      <c r="H17" s="4"/>
      <c r="I17" s="4"/>
      <c r="J17" s="1"/>
      <c r="K17" s="4"/>
      <c r="L17" s="7">
        <f>SUM(Calculations!AA16:AC16)/3</f>
        <v>1003.4957912457912</v>
      </c>
      <c r="M17" s="4"/>
      <c r="N17" s="8" t="s">
        <v>12</v>
      </c>
      <c r="O17" s="4"/>
      <c r="P17" s="4"/>
      <c r="Q17" s="4"/>
      <c r="R17" s="4"/>
      <c r="S17" s="1"/>
    </row>
    <row r="18" spans="1:19" ht="8.4499999999999993" customHeight="1" x14ac:dyDescent="0.3">
      <c r="A18" s="1"/>
      <c r="B18" s="4"/>
      <c r="C18" s="10"/>
      <c r="D18" s="4"/>
      <c r="E18" s="11"/>
      <c r="F18" s="4"/>
      <c r="G18" s="4"/>
      <c r="H18" s="4"/>
      <c r="I18" s="4"/>
      <c r="J18" s="1"/>
      <c r="K18" s="4"/>
      <c r="L18" s="10"/>
      <c r="M18" s="4"/>
      <c r="N18" s="11"/>
      <c r="O18" s="4"/>
      <c r="P18" s="4"/>
      <c r="Q18" s="4"/>
      <c r="R18" s="4"/>
      <c r="S18" s="1"/>
    </row>
    <row r="19" spans="1:19" ht="31.9" customHeight="1" x14ac:dyDescent="0.3">
      <c r="A19" s="1"/>
      <c r="B19" s="4"/>
      <c r="C19" s="7">
        <f>SUM(Calculations!AP16:AR16)/3</f>
        <v>2500</v>
      </c>
      <c r="D19" s="4"/>
      <c r="E19" s="8" t="s">
        <v>19</v>
      </c>
      <c r="F19" s="4"/>
      <c r="G19" s="4"/>
      <c r="H19" s="4"/>
      <c r="I19" s="4"/>
      <c r="J19" s="1"/>
      <c r="K19" s="4"/>
      <c r="L19" s="7">
        <f>SUM(Calculations!AD16:AF16)/3</f>
        <v>333.33333333333331</v>
      </c>
      <c r="M19" s="4"/>
      <c r="N19" s="8" t="s">
        <v>13</v>
      </c>
      <c r="O19" s="4"/>
      <c r="P19" s="4"/>
      <c r="Q19" s="4"/>
      <c r="R19" s="4"/>
      <c r="S19" s="1"/>
    </row>
    <row r="20" spans="1:19" ht="8.4499999999999993" customHeight="1" x14ac:dyDescent="0.3">
      <c r="A20" s="1"/>
      <c r="B20" s="4"/>
      <c r="C20" s="10"/>
      <c r="D20" s="4"/>
      <c r="E20" s="11"/>
      <c r="F20" s="4"/>
      <c r="G20" s="4"/>
      <c r="H20" s="4"/>
      <c r="I20" s="4"/>
      <c r="J20" s="1"/>
      <c r="K20" s="4"/>
      <c r="L20" s="10"/>
      <c r="M20" s="4"/>
      <c r="N20" s="11"/>
      <c r="O20" s="4"/>
      <c r="P20" s="4"/>
      <c r="Q20" s="4"/>
      <c r="R20" s="4"/>
      <c r="S20" s="1"/>
    </row>
    <row r="21" spans="1:19" ht="31.9" customHeight="1" x14ac:dyDescent="0.3">
      <c r="A21" s="1"/>
      <c r="B21" s="4"/>
      <c r="C21" s="12">
        <f>C17/C19</f>
        <v>1.2363434515897229</v>
      </c>
      <c r="D21" s="4"/>
      <c r="E21" s="8" t="s">
        <v>9</v>
      </c>
      <c r="F21" s="4"/>
      <c r="G21" s="4"/>
      <c r="H21" s="4"/>
      <c r="I21" s="4"/>
      <c r="J21" s="1"/>
      <c r="K21" s="4"/>
      <c r="L21" s="12">
        <f>L17/L19</f>
        <v>3.0104873737373739</v>
      </c>
      <c r="M21" s="4"/>
      <c r="N21" s="8" t="s">
        <v>9</v>
      </c>
      <c r="O21" s="4"/>
      <c r="P21" s="4"/>
      <c r="Q21" s="4"/>
      <c r="R21" s="4"/>
      <c r="S21" s="1"/>
    </row>
    <row r="22" spans="1:19" ht="27" customHeight="1" x14ac:dyDescent="0.3">
      <c r="A22" s="1"/>
      <c r="B22" s="4"/>
      <c r="C22" s="4"/>
      <c r="D22" s="4"/>
      <c r="E22" s="4"/>
      <c r="F22" s="4"/>
      <c r="G22" s="4"/>
      <c r="H22" s="4"/>
      <c r="I22" s="4"/>
      <c r="J22" s="1"/>
      <c r="K22" s="4"/>
      <c r="L22" s="4"/>
      <c r="M22" s="4"/>
      <c r="N22" s="4"/>
      <c r="O22" s="4"/>
      <c r="P22" s="4"/>
      <c r="Q22" s="4"/>
      <c r="R22" s="4"/>
      <c r="S22" s="1"/>
    </row>
    <row r="23" spans="1:19" ht="21.6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9.149999999999999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</sheetData>
  <mergeCells count="2">
    <mergeCell ref="C2:E2"/>
    <mergeCell ref="L2:N2"/>
  </mergeCells>
  <phoneticPr fontId="1" type="noConversion"/>
  <conditionalFormatting sqref="C11 L11">
    <cfRule type="iconSet" priority="4">
      <iconSet iconSet="3Symbols">
        <cfvo type="percent" val="0"/>
        <cfvo type="num" val="0.8"/>
        <cfvo type="num" val="0.95"/>
      </iconSet>
    </cfRule>
  </conditionalFormatting>
  <conditionalFormatting sqref="C11">
    <cfRule type="iconSet" priority="6">
      <iconSet iconSet="3Symbols">
        <cfvo type="percent" val="0"/>
        <cfvo type="percent" val="0.8"/>
        <cfvo type="percent" val="0.95"/>
      </iconSet>
    </cfRule>
    <cfRule type="iconSet" priority="11">
      <iconSet iconSet="3Symbols">
        <cfvo type="percent" val="0"/>
        <cfvo type="percent" val="95"/>
        <cfvo type="percent" val="100"/>
      </iconSet>
    </cfRule>
  </conditionalFormatting>
  <conditionalFormatting sqref="C21 L21">
    <cfRule type="iconSet" priority="1">
      <iconSet iconSet="3Symbols">
        <cfvo type="percent" val="0"/>
        <cfvo type="num" val="0.8"/>
        <cfvo type="num" val="0.95"/>
      </iconSet>
    </cfRule>
  </conditionalFormatting>
  <conditionalFormatting sqref="C21">
    <cfRule type="iconSet" priority="2">
      <iconSet iconSet="3Symbols">
        <cfvo type="percent" val="0"/>
        <cfvo type="percent" val="0.8"/>
        <cfvo type="percent" val="0.95"/>
      </iconSet>
    </cfRule>
    <cfRule type="iconSet" priority="3">
      <iconSet iconSet="3Symbols">
        <cfvo type="percent" val="0"/>
        <cfvo type="percent" val="95"/>
        <cfvo type="percent" val="100"/>
      </iconSet>
    </cfRule>
  </conditionalFormatting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83751D-833B-400F-AE7E-89DB96836EC4}">
          <x14:formula1>
            <xm:f>Calculations!$H$1:$H$4</xm:f>
          </x14:formula1>
          <xm:sqref>F2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f725a4-3748-4a32-ab9f-af6c79e3ee18">
      <Terms xmlns="http://schemas.microsoft.com/office/infopath/2007/PartnerControls"/>
    </lcf76f155ced4ddcb4097134ff3c332f>
    <TaxCatchAll xmlns="64fe5494-88bb-40c4-996c-0dcc846c68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E7F21E2499BD24D832C279C832216E3" ma:contentTypeVersion="7" ma:contentTypeDescription="Create a new document." ma:contentTypeScope="" ma:versionID="c68f15b3e72f512955bb6dd029098c7d">
  <xsd:schema xmlns:xsd="http://www.w3.org/2001/XMLSchema" xmlns:xs="http://www.w3.org/2001/XMLSchema" xmlns:p="http://schemas.microsoft.com/office/2006/metadata/properties" xmlns:ns2="499bc73b-9a81-437f-a94a-28e5c716b5a7" xmlns:ns3="1322d25b-4669-4818-b03e-4dbc4f0431d3" xmlns:ns4="11f725a4-3748-4a32-ab9f-af6c79e3ee18" xmlns:ns5="64fe5494-88bb-40c4-996c-0dcc846c68f4" targetNamespace="http://schemas.microsoft.com/office/2006/metadata/properties" ma:root="true" ma:fieldsID="53851f65c57809ae9ee3433a200575a4" ns2:_="" ns3:_="" ns4:_="" ns5:_="">
    <xsd:import namespace="499bc73b-9a81-437f-a94a-28e5c716b5a7"/>
    <xsd:import namespace="1322d25b-4669-4818-b03e-4dbc4f0431d3"/>
    <xsd:import namespace="11f725a4-3748-4a32-ab9f-af6c79e3ee18"/>
    <xsd:import namespace="64fe5494-88bb-40c4-996c-0dcc846c68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bc73b-9a81-437f-a94a-28e5c716b5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2d25b-4669-4818-b03e-4dbc4f0431d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725a4-3748-4a32-ab9f-af6c79e3ee1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5133a532-c2d5-4ab0-a026-143c848d30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e5494-88bb-40c4-996c-0dcc846c68f4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53b27d9-c0e4-4adf-af86-50f070dee4c0}" ma:internalName="TaxCatchAll" ma:showField="CatchAllData" ma:web="64fe5494-88bb-40c4-996c-0dcc846c68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D52EC-F8DB-4CF1-9646-6AF7EBC64406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11f725a4-3748-4a32-ab9f-af6c79e3ee18"/>
    <ds:schemaRef ds:uri="499bc73b-9a81-437f-a94a-28e5c716b5a7"/>
    <ds:schemaRef ds:uri="1322d25b-4669-4818-b03e-4dbc4f0431d3"/>
    <ds:schemaRef ds:uri="http://www.w3.org/XML/1998/namespace"/>
    <ds:schemaRef ds:uri="http://schemas.openxmlformats.org/package/2006/metadata/core-properties"/>
    <ds:schemaRef ds:uri="64fe5494-88bb-40c4-996c-0dcc846c68f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2EB2D72-16F4-4882-B4D2-1E040E3250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B28FA4-8ED8-471E-87C8-20827660D0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bc73b-9a81-437f-a94a-28e5c716b5a7"/>
    <ds:schemaRef ds:uri="1322d25b-4669-4818-b03e-4dbc4f0431d3"/>
    <ds:schemaRef ds:uri="11f725a4-3748-4a32-ab9f-af6c79e3ee18"/>
    <ds:schemaRef ds:uri="64fe5494-88bb-40c4-996c-0dcc846c68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Data</vt:lpstr>
      <vt:lpstr>Calculations</vt:lpstr>
      <vt:lpstr>DASHBOARD</vt:lpstr>
      <vt:lpstr>DASHBOARD!Extract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Lucas Kim</cp:lastModifiedBy>
  <cp:lastPrinted>2022-10-16T20:11:12Z</cp:lastPrinted>
  <dcterms:created xsi:type="dcterms:W3CDTF">2022-10-16T05:48:19Z</dcterms:created>
  <dcterms:modified xsi:type="dcterms:W3CDTF">2024-06-26T02:08:08Z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0x0101006E7F21E2499BD24D832C279C832216E3</vt:lpwstr>
  </property>
  <property fmtid="{D5CDD505-2E9C-101B-9397-08002B2CF9AE}" pid="3" name="MediaServiceImageTags">
    <vt:lpwstr/>
  </property>
</Properties>
</file>